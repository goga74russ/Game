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Константы" sheetId="2" state="visible" r:id="rId2"/>
    <sheet name="Руны" sheetId="3" state="visible" r:id="rId3"/>
    <sheet name="Активные" sheetId="4" state="visible" r:id="rId4"/>
    <sheet name="Поддержки" sheetId="5" state="visible" r:id="rId5"/>
    <sheet name="Ауры" sheetId="6" state="visible" r:id="rId6"/>
    <sheet name="Божьи" sheetId="7" state="visible" r:id="rId7"/>
    <sheet name="Параметры" sheetId="8" state="visible" r:id="rId8"/>
  </sheets>
  <definedNames>
    <definedName name="_xlnm._FilterDatabase" localSheetId="4" hidden="1">'Поддержки'!$A$1:$S$57</definedName>
    <definedName name="_xlnm._FilterDatabase" localSheetId="7" hidden="1">'Параметры'!$A$1:$AI$113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%;-0%;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i val="1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E223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Навыки — прототип «Померкшая Навь»</t>
        </is>
      </c>
      <c r="B1" s="2" t="inlineStr"/>
    </row>
    <row r="2">
      <c r="A2" s="3" t="inlineStr">
        <is>
          <t>Статус</t>
        </is>
      </c>
      <c r="B2" s="2" t="inlineStr">
        <is>
          <t>[Д] черновик. Все числа — заглушки для проверки в игре. Не канон, ждёт решения директора.</t>
        </is>
      </c>
    </row>
    <row r="3">
      <c r="A3" s="3" t="inlineStr">
        <is>
          <t>Откуда структура</t>
        </is>
      </c>
      <c r="B3" s="2" t="inlineStr">
        <is>
          <t>Разметка листов повторяет выгрузку PoE2DB (Активные / Поддержки / Spirit→Ауры / Meta→Божьи / Параметры). Названия, числа и механики — наши, из PoE не взято ничего.</t>
        </is>
      </c>
    </row>
    <row r="4">
      <c r="A4" s="3" t="inlineStr">
        <is>
          <t>Правила</t>
        </is>
      </c>
      <c r="B4" s="2" t="inlineStr">
        <is>
          <t>docs/GDD_v1.md §4–7: камень = активный навык, метка удар/выстрел/чары, ранги D→S, поддержки в гнёзда, Ярь 100.</t>
        </is>
      </c>
    </row>
    <row r="5">
      <c r="A5" s="3" t="inlineStr">
        <is>
          <t>Ранги</t>
        </is>
      </c>
      <c r="B5" s="2" t="inlineStr">
        <is>
          <t>Предложение Б (systems-wilson): гнёзд D1/C2/B2/A3/S3, +10% урона за ранг, B — Ярь −10%. Лист «Константы».</t>
        </is>
      </c>
    </row>
    <row r="6">
      <c r="A6" s="3" t="inlineStr">
        <is>
          <t>Как пользоваться</t>
        </is>
      </c>
      <c r="B6" s="2" t="inlineStr">
        <is>
          <t>Синие ячейки — ввод, чёрные — формулы, зелёные — ссылки на другой лист. Меняй числа в «Параметры» и «Константы», остальное пересчитается. Жёлтые — ключевые допущения.</t>
        </is>
      </c>
    </row>
    <row r="7">
      <c r="A7" s="3" t="inlineStr">
        <is>
          <t>Активных камней</t>
        </is>
      </c>
      <c r="B7" s="2">
        <f>COUNTA(Параметры!A2:A113)</f>
        <v/>
      </c>
    </row>
    <row r="8">
      <c r="A8" s="3" t="inlineStr">
        <is>
          <t>Поддержек</t>
        </is>
      </c>
      <c r="B8" s="2">
        <f>COUNTA(Поддержки!A2:A57)</f>
        <v/>
      </c>
    </row>
    <row r="9">
      <c r="A9" s="3" t="inlineStr">
        <is>
          <t>Божьих (S)</t>
        </is>
      </c>
      <c r="B9" s="2">
        <f>COUNTIF(Параметры!I2:I113,"S")</f>
        <v/>
      </c>
    </row>
    <row r="10">
      <c r="A10" s="3" t="inlineStr">
        <is>
          <t>Флаг «перегиб»</t>
        </is>
      </c>
      <c r="B10" s="2">
        <f>COUNTIF(Параметры!AE2:AE113,"перегиб")</f>
        <v/>
      </c>
    </row>
    <row r="11">
      <c r="A11" s="3" t="inlineStr">
        <is>
          <t>Флаг «слабый»</t>
        </is>
      </c>
      <c r="B11" s="2">
        <f>COUNTIF(Параметры!AE2:AE113,"слабый")</f>
        <v/>
      </c>
    </row>
    <row r="12">
      <c r="A12" s="3" t="inlineStr"/>
      <c r="B12" s="2" t="inlineStr"/>
    </row>
    <row r="13">
      <c r="A13" s="3" t="inlineStr">
        <is>
          <t>Биом</t>
        </is>
      </c>
      <c r="B13" s="2" t="inlineStr">
        <is>
          <t>Активных / божьих / средний урон/с (без щитов и лечения)</t>
        </is>
      </c>
    </row>
    <row r="14">
      <c r="A14" s="2" t="inlineStr">
        <is>
          <t>Выси (Перун, Гром)</t>
        </is>
      </c>
      <c r="B14" s="2">
        <f>COUNTIF(Параметры!$E$2:$E$113,"Гром")&amp;" / "&amp;COUNTIFS(Параметры!$E$2:$E$113,"Гром",Параметры!$I$2:$I$113,"S")&amp;" / "&amp;TEXT(AVERAGEIFS(Параметры!$AC$2:$AC$113,Параметры!$E$2:$E$113,"Гром",Параметры!$AC$2:$AC$113,"&gt;0"),"0")</f>
        <v/>
      </c>
    </row>
    <row r="15">
      <c r="A15" s="2" t="inlineStr">
        <is>
          <t>Омут (Велес, Ртуть)</t>
        </is>
      </c>
      <c r="B15" s="2">
        <f>COUNTIF(Параметры!$E$2:$E$113,"Ртуть")&amp;" / "&amp;COUNTIFS(Параметры!$E$2:$E$113,"Ртуть",Параметры!$I$2:$I$113,"S")&amp;" / "&amp;TEXT(AVERAGEIFS(Параметры!$AC$2:$AC$113,Параметры!$E$2:$E$113,"Ртуть",Параметры!$AC$2:$AC$113,"&gt;0"),"0")</f>
        <v/>
      </c>
    </row>
    <row r="16">
      <c r="A16" s="2" t="inlineStr">
        <is>
          <t>Хляби (Мокошь, Нити)</t>
        </is>
      </c>
      <c r="B16" s="2">
        <f>COUNTIF(Параметры!$E$2:$E$113,"Нити")&amp;" / "&amp;COUNTIFS(Параметры!$E$2:$E$113,"Нити",Параметры!$I$2:$I$113,"S")&amp;" / "&amp;TEXT(AVERAGEIFS(Параметры!$AC$2:$AC$113,Параметры!$E$2:$E$113,"Нити",Параметры!$AC$2:$AC$113,"&gt;0"),"0")</f>
        <v/>
      </c>
    </row>
    <row r="17">
      <c r="A17" s="2" t="inlineStr">
        <is>
          <t>Кострище (Ярило, Ярь)</t>
        </is>
      </c>
      <c r="B17" s="2">
        <f>COUNTIF(Параметры!$E$2:$E$113,"Ярь")&amp;" / "&amp;COUNTIFS(Параметры!$E$2:$E$113,"Ярь",Параметры!$I$2:$I$113,"S")&amp;" / "&amp;TEXT(AVERAGEIFS(Параметры!$AC$2:$AC$113,Параметры!$E$2:$E$113,"Ярь",Параметры!$AC$2:$AC$113,"&gt;0"),"0")</f>
        <v/>
      </c>
    </row>
    <row r="18">
      <c r="A18" s="2" t="inlineStr">
        <is>
          <t>Пекло (Чернобог, Порча)</t>
        </is>
      </c>
      <c r="B18" s="2">
        <f>COUNTIF(Параметры!$E$2:$E$113,"Порча")&amp;" / "&amp;COUNTIFS(Параметры!$E$2:$E$113,"Порча",Параметры!$I$2:$I$113,"S")&amp;" / "&amp;TEXT(AVERAGEIFS(Параметры!$AC$2:$AC$113,Параметры!$E$2:$E$113,"Порча",Параметры!$AC$2:$AC$113,"&gt;0"),"0")</f>
        <v/>
      </c>
    </row>
    <row r="19">
      <c r="A19" s="2" t="inlineStr">
        <is>
          <t>Степь (Дажьбог, Солнце)</t>
        </is>
      </c>
      <c r="B19" s="2">
        <f>COUNTIF(Параметры!$E$2:$E$113,"Солнце")&amp;" / "&amp;COUNTIFS(Параметры!$E$2:$E$113,"Солнце",Параметры!$I$2:$I$113,"S")&amp;" / "&amp;TEXT(AVERAGEIFS(Параметры!$AC$2:$AC$113,Параметры!$E$2:$E$113,"Солнце",Параметры!$AC$2:$AC$113,"&gt;0"),"0")</f>
        <v/>
      </c>
    </row>
    <row r="20">
      <c r="A20" s="2" t="inlineStr">
        <is>
          <t>Берег (Стрибог, Ветер)</t>
        </is>
      </c>
      <c r="B20" s="2">
        <f>COUNTIF(Параметры!$E$2:$E$113,"Ветер")&amp;" / "&amp;COUNTIFS(Параметры!$E$2:$E$113,"Ветер",Параметры!$I$2:$I$113,"S")&amp;" / "&amp;TEXT(AVERAGEIFS(Параметры!$AC$2:$AC$113,Параметры!$E$2:$E$113,"Ветер",Параметры!$AC$2:$AC$113,"&gt;0"),"0")</f>
        <v/>
      </c>
    </row>
    <row r="21">
      <c r="A21" s="2" t="inlineStr">
        <is>
          <t>Горнило (Сварог, Жар)</t>
        </is>
      </c>
      <c r="B21" s="2">
        <f>COUNTIF(Параметры!$E$2:$E$113,"Жар")&amp;" / "&amp;COUNTIFS(Параметры!$E$2:$E$113,"Жар",Параметры!$I$2:$I$113,"S")&amp;" / "&amp;TEXT(AVERAGEIFS(Параметры!$AC$2:$AC$113,Параметры!$E$2:$E$113,"Жар",Параметры!$AC$2:$AC$113,"&gt;0"),"0")</f>
        <v/>
      </c>
    </row>
    <row r="23">
      <c r="A23" s="3" t="inlineStr">
        <is>
          <t>Роли на биом</t>
        </is>
      </c>
      <c r="B23" s="2" t="inlineStr">
        <is>
          <t>По 2 камня на каждую из 7 ролей (Ренж-ДД, Мили-ДД, Танк, Хил, Призыв, Саппорт, Мобильность). Ранги в биоме: 6 D, 3 C, 2 B, 1 A, 2 S.</t>
        </is>
      </c>
    </row>
    <row r="24">
      <c r="A24" s="3" t="inlineStr">
        <is>
          <t>Сигнатуры биомов</t>
        </is>
      </c>
      <c r="B24" s="2" t="inlineStr">
        <is>
          <t>Гром — цепь и удар в место, где враг был. Ртуть — стадо и обмен здоровья на Ярь. Нити — связь целей и деление урона. Ярь — сила при низком здоровье. Порча — «вина» и приговор. Солнце — дар по цепи союзников. Ветер — разворот снарядов и движение. Жар — турели, заготовки, зоны-правила.</t>
        </is>
      </c>
    </row>
    <row r="25">
      <c r="A25" s="3" t="inlineStr">
        <is>
          <t>Открытые вопросы</t>
        </is>
      </c>
      <c r="B25" s="2" t="inlineStr">
        <is>
          <t>1) Цвет Нитей (#D9C9A0 vs «зелень льна»). 2) Рамка иконки поддержки не утверждена артом. 3) Константы урона оружия (30/15) — допущение. 4) Ранги — ждут решения директора. 5) Пять камней и три поддержки Грома взяты из C1-Yav/*.csv без изменений.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70" customWidth="1" min="4" max="4"/>
  </cols>
  <sheetData>
    <row r="1">
      <c r="A1" s="4" t="inlineStr">
        <is>
          <t>Параметр</t>
        </is>
      </c>
      <c r="B1" s="4" t="inlineStr">
        <is>
          <t>Значение</t>
        </is>
      </c>
      <c r="C1" s="4" t="inlineStr">
        <is>
          <t>Единица</t>
        </is>
      </c>
      <c r="D1" s="4" t="inlineStr">
        <is>
          <t>Источник / примечание</t>
        </is>
      </c>
    </row>
    <row r="2">
      <c r="A2" s="2" t="inlineStr">
        <is>
          <t>Здоровье Отростка (базовый враг)</t>
        </is>
      </c>
      <c r="B2" s="5" t="n">
        <v>60</v>
      </c>
      <c r="C2" s="2" t="inlineStr">
        <is>
          <t>HP</t>
        </is>
      </c>
      <c r="D2" s="2" t="inlineStr">
        <is>
          <t>FNMob.h OtrostHealth [Д]</t>
        </is>
      </c>
    </row>
    <row r="3">
      <c r="A3" s="2" t="inlineStr">
        <is>
          <t>Урон одного удара ближним оружием</t>
        </is>
      </c>
      <c r="B3" s="5" t="n">
        <v>30</v>
      </c>
      <c r="C3" s="2" t="inlineStr">
        <is>
          <t>урон</t>
        </is>
      </c>
      <c r="D3" s="2" t="inlineStr">
        <is>
          <t>[Д] допущение для расчёта основы «оружие ближнее»</t>
        </is>
      </c>
    </row>
    <row r="4">
      <c r="A4" s="2" t="inlineStr">
        <is>
          <t>Урон одного выстрела</t>
        </is>
      </c>
      <c r="B4" s="5" t="n">
        <v>15</v>
      </c>
      <c r="C4" s="2" t="inlineStr">
        <is>
          <t>урон</t>
        </is>
      </c>
      <c r="D4" s="2" t="inlineStr">
        <is>
          <t>[Д] допущение для расчёта основы «оружие дальнее»</t>
        </is>
      </c>
    </row>
    <row r="5">
      <c r="A5" s="2" t="inlineStr">
        <is>
          <t>Шкала Яри</t>
        </is>
      </c>
      <c r="B5" s="6" t="n">
        <v>100</v>
      </c>
      <c r="C5" s="2" t="inlineStr">
        <is>
          <t>Ярь</t>
        </is>
      </c>
      <c r="D5" s="2" t="inlineStr">
        <is>
          <t>GDD §4–7</t>
        </is>
      </c>
    </row>
    <row r="6">
      <c r="A6" s="2" t="inlineStr">
        <is>
          <t>Ярь за убийство Отростка</t>
        </is>
      </c>
      <c r="B6" s="6" t="n">
        <v>20</v>
      </c>
      <c r="C6" s="2" t="inlineStr">
        <is>
          <t>Ярь</t>
        </is>
      </c>
      <c r="D6" s="2" t="inlineStr">
        <is>
          <t>skills_demo_v0.1</t>
        </is>
      </c>
    </row>
    <row r="7">
      <c r="A7" s="2" t="inlineStr">
        <is>
          <t>Ярь за идеальный уворот (элита/босс)</t>
        </is>
      </c>
      <c r="B7" s="6" t="n">
        <v>25</v>
      </c>
      <c r="C7" s="2" t="inlineStr">
        <is>
          <t>Ярь</t>
        </is>
      </c>
      <c r="D7" s="2" t="inlineStr">
        <is>
          <t>skills_demo_v0.1 (обычный враг: 15)</t>
        </is>
      </c>
    </row>
    <row r="8">
      <c r="A8" s="2" t="inlineStr">
        <is>
          <t>Регенерация Яри</t>
        </is>
      </c>
      <c r="B8" s="6" t="n">
        <v>1</v>
      </c>
      <c r="C8" s="2" t="inlineStr">
        <is>
          <t>Ярь/с</t>
        </is>
      </c>
      <c r="D8" s="2" t="inlineStr">
        <is>
          <t>skills_demo_v0.1 (3/с при 0 патронов и Ярь&lt;20)</t>
        </is>
      </c>
    </row>
    <row r="9">
      <c r="A9" s="2" t="inlineStr">
        <is>
          <t>Потолок роста урона</t>
        </is>
      </c>
      <c r="B9" s="6" t="n">
        <v>50</v>
      </c>
      <c r="C9" s="2" t="inlineStr">
        <is>
          <t>×</t>
        </is>
      </c>
      <c r="D9" s="2" t="inlineStr">
        <is>
          <t>GDD: рост урона не выше ×50</t>
        </is>
      </c>
    </row>
    <row r="10">
      <c r="A10" s="2" t="inlineStr">
        <is>
          <t>Максимум More на навык</t>
        </is>
      </c>
      <c r="B10" s="6" t="n">
        <v>2</v>
      </c>
      <c r="C10" s="2" t="inlineStr">
        <is>
          <t>шт.</t>
        </is>
      </c>
      <c r="D10" s="2" t="inlineStr">
        <is>
          <t>GDD</t>
        </is>
      </c>
    </row>
    <row r="11">
      <c r="A11" s="2" t="inlineStr">
        <is>
          <t>Максимальный возврат цены поддержками</t>
        </is>
      </c>
      <c r="B11" s="7" t="n">
        <v>0.75</v>
      </c>
      <c r="C11" s="2" t="inlineStr">
        <is>
          <t>доля</t>
        </is>
      </c>
      <c r="D11" s="2" t="inlineStr">
        <is>
          <t>skills_demo_v0.1</t>
        </is>
      </c>
    </row>
    <row r="12">
      <c r="A12" s="2" t="inlineStr">
        <is>
          <t>Порог «перегиб» (доля эталона)</t>
        </is>
      </c>
      <c r="B12" s="6" t="n">
        <v>2</v>
      </c>
      <c r="C12" s="2" t="inlineStr">
        <is>
          <t>×</t>
        </is>
      </c>
      <c r="D12" s="2" t="inlineStr">
        <is>
          <t>[Д] флаг для балансёра</t>
        </is>
      </c>
    </row>
    <row r="13">
      <c r="A13" s="2" t="inlineStr">
        <is>
          <t>Порог «слабый» (доля эталона)</t>
        </is>
      </c>
      <c r="B13" s="7" t="n">
        <v>0.5</v>
      </c>
      <c r="C13" s="2" t="inlineStr">
        <is>
          <t>×</t>
        </is>
      </c>
      <c r="D13" s="2" t="inlineStr">
        <is>
          <t>[Д] флаг для балансёра</t>
        </is>
      </c>
    </row>
    <row r="14">
      <c r="A14" s="2" t="inlineStr">
        <is>
          <t>Эталон: урон на 1 Ярь</t>
        </is>
      </c>
      <c r="B14" s="2">
        <f>B2/B6</f>
        <v/>
      </c>
      <c r="C14" s="2" t="inlineStr">
        <is>
          <t>урон/Ярь</t>
        </is>
      </c>
      <c r="D14" s="2" t="inlineStr">
        <is>
          <t>Формула: навык за цену одного убийства (Ярь за Отростка) должен убить одного Отростка</t>
        </is>
      </c>
    </row>
    <row r="16">
      <c r="A16" s="3" t="inlineStr">
        <is>
          <t>Ранги (предложение Б, systems-wilson; ждёт решения директора)</t>
        </is>
      </c>
    </row>
    <row r="17">
      <c r="A17" s="8" t="inlineStr">
        <is>
          <t>Ранг</t>
        </is>
      </c>
      <c r="B17" s="8" t="inlineStr">
        <is>
          <t>Индекс</t>
        </is>
      </c>
      <c r="C17" s="8" t="inlineStr">
        <is>
          <t>Гнёзд поддержек</t>
        </is>
      </c>
      <c r="D17" s="8" t="inlineStr">
        <is>
          <t>Бонус урона (increased)</t>
        </is>
      </c>
      <c r="E17" s="8" t="inlineStr">
        <is>
          <t>Скидка Яри</t>
        </is>
      </c>
      <c r="F17" s="8" t="inlineStr">
        <is>
          <t>Источник</t>
        </is>
      </c>
      <c r="G17" s="8" t="inlineStr">
        <is>
          <t>Мир</t>
        </is>
      </c>
      <c r="H17" s="8" t="inlineStr">
        <is>
          <t>Особое</t>
        </is>
      </c>
    </row>
    <row r="18">
      <c r="A18" s="2" t="inlineStr">
        <is>
          <t>D</t>
        </is>
      </c>
      <c r="B18" s="2" t="n">
        <v>1</v>
      </c>
      <c r="C18" s="6" t="n">
        <v>1</v>
      </c>
      <c r="D18" s="7" t="n">
        <v>0</v>
      </c>
      <c r="E18" s="7" t="n">
        <v>0</v>
      </c>
      <c r="F18" s="2" t="inlineStr">
        <is>
          <t>Полубог Яви</t>
        </is>
      </c>
      <c r="G18" s="2" t="inlineStr">
        <is>
          <t>Явь</t>
        </is>
      </c>
      <c r="H18" s="2" t="inlineStr">
        <is>
          <t>—</t>
        </is>
      </c>
    </row>
    <row r="19">
      <c r="A19" s="2" t="inlineStr">
        <is>
          <t>C</t>
        </is>
      </c>
      <c r="B19" s="2" t="n">
        <v>2</v>
      </c>
      <c r="C19" s="6" t="n">
        <v>2</v>
      </c>
      <c r="D19" s="7" t="n">
        <v>0.1</v>
      </c>
      <c r="E19" s="7" t="n">
        <v>0</v>
      </c>
      <c r="F19" s="2" t="inlineStr">
        <is>
          <t>Полубог Яви</t>
        </is>
      </c>
      <c r="G19" s="2" t="inlineStr">
        <is>
          <t>Явь</t>
        </is>
      </c>
      <c r="H19" s="2" t="inlineStr">
        <is>
          <t>—</t>
        </is>
      </c>
    </row>
    <row r="20">
      <c r="A20" s="2" t="inlineStr">
        <is>
          <t>B</t>
        </is>
      </c>
      <c r="B20" s="2" t="n">
        <v>3</v>
      </c>
      <c r="C20" s="6" t="n">
        <v>2</v>
      </c>
      <c r="D20" s="7" t="n">
        <v>0.2</v>
      </c>
      <c r="E20" s="7" t="n">
        <v>0.1</v>
      </c>
      <c r="F20" s="2" t="inlineStr">
        <is>
          <t>Полубог Нави</t>
        </is>
      </c>
      <c r="G20" s="2" t="inlineStr">
        <is>
          <t>Навь</t>
        </is>
      </c>
      <c r="H20" s="2" t="inlineStr">
        <is>
          <t>Ярь −10%</t>
        </is>
      </c>
    </row>
    <row r="21">
      <c r="A21" s="2" t="inlineStr">
        <is>
          <t>A</t>
        </is>
      </c>
      <c r="B21" s="2" t="n">
        <v>4</v>
      </c>
      <c r="C21" s="6" t="n">
        <v>3</v>
      </c>
      <c r="D21" s="7" t="n">
        <v>0.3</v>
      </c>
      <c r="E21" s="7" t="n">
        <v>0</v>
      </c>
      <c r="F21" s="2" t="inlineStr">
        <is>
          <t>Полубог Нави</t>
        </is>
      </c>
      <c r="G21" s="2" t="inlineStr">
        <is>
          <t>Навь</t>
        </is>
      </c>
      <c r="H21" s="2" t="inlineStr">
        <is>
          <t>вариант формы</t>
        </is>
      </c>
    </row>
    <row r="22">
      <c r="A22" s="2" t="inlineStr">
        <is>
          <t>S</t>
        </is>
      </c>
      <c r="B22" s="2" t="n">
        <v>5</v>
      </c>
      <c r="C22" s="6" t="n">
        <v>3</v>
      </c>
      <c r="D22" s="7" t="n">
        <v>0.4</v>
      </c>
      <c r="E22" s="7" t="n">
        <v>0</v>
      </c>
      <c r="F22" s="2" t="inlineStr">
        <is>
          <t>Бог Нави</t>
        </is>
      </c>
      <c r="G22" s="2" t="inlineStr">
        <is>
          <t>Навь</t>
        </is>
      </c>
      <c r="H22" s="2" t="inlineStr">
        <is>
          <t>форма + божественное свойство; слот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  <col width="40" customWidth="1" min="6" max="6"/>
    <col width="40" customWidth="1" min="7" max="7"/>
    <col width="14" customWidth="1" min="8" max="8"/>
    <col width="30" customWidth="1" min="9" max="9"/>
  </cols>
  <sheetData>
    <row r="1">
      <c r="A1" s="8" t="inlineStr">
        <is>
          <t>Стихия</t>
        </is>
      </c>
      <c r="B1" s="8" t="inlineStr">
        <is>
          <t>Бог</t>
        </is>
      </c>
      <c r="C1" s="8" t="inlineStr">
        <is>
          <t>Биом</t>
        </is>
      </c>
      <c r="D1" s="8" t="inlineStr">
        <is>
          <t>Код</t>
        </is>
      </c>
      <c r="E1" s="8" t="inlineStr">
        <is>
          <t>Hex</t>
        </is>
      </c>
      <c r="F1" s="8" t="inlineStr">
        <is>
          <t>Цвет (для промта)</t>
        </is>
      </c>
      <c r="G1" s="8" t="inlineStr">
        <is>
          <t>Ядро (для промта)</t>
        </is>
      </c>
      <c r="H1" s="8" t="inlineStr">
        <is>
          <t>Знак по краю</t>
        </is>
      </c>
      <c r="I1" s="8" t="inlineStr">
        <is>
          <t>Знак (для промта)</t>
        </is>
      </c>
    </row>
    <row r="2">
      <c r="A2" s="2" t="inlineStr">
        <is>
          <t>Гром</t>
        </is>
      </c>
      <c r="B2" s="2" t="inlineStr">
        <is>
          <t>Перун</t>
        </is>
      </c>
      <c r="C2" s="2" t="inlineStr">
        <is>
          <t>Выси</t>
        </is>
      </c>
      <c r="D2" s="2" t="inlineStr">
        <is>
          <t>01-grom</t>
        </is>
      </c>
      <c r="E2" s="2" t="inlineStr">
        <is>
          <t>#8FA8FF</t>
        </is>
      </c>
      <c r="F2" s="2" t="inlineStr">
        <is>
          <t>lavender blue (#8FA8FF)</t>
        </is>
      </c>
      <c r="G2" s="2" t="inlineStr">
        <is>
          <t xml:space="preserve"> with thin pale blue (#DDE4FF) core line</t>
        </is>
      </c>
      <c r="H2" s="2" t="inlineStr">
        <is>
          <t>зигзаг</t>
        </is>
      </c>
      <c r="I2" s="2" t="inlineStr">
        <is>
          <t>thin sharp zigzag</t>
        </is>
      </c>
    </row>
    <row r="3">
      <c r="A3" s="2" t="inlineStr">
        <is>
          <t>Ртуть</t>
        </is>
      </c>
      <c r="B3" s="2" t="inlineStr">
        <is>
          <t>Велес</t>
        </is>
      </c>
      <c r="C3" s="2" t="inlineStr">
        <is>
          <t>Омут</t>
        </is>
      </c>
      <c r="D3" s="2" t="inlineStr">
        <is>
          <t>02-rtut</t>
        </is>
      </c>
      <c r="E3" s="2" t="inlineStr">
        <is>
          <t>#B8C2C6</t>
        </is>
      </c>
      <c r="F3" s="2" t="inlineStr">
        <is>
          <t>grey quicksilver (#B8C2C6)</t>
        </is>
      </c>
      <c r="G3" s="2" t="inlineStr">
        <is>
          <t xml:space="preserve"> with thin sage green (#8FA89A) inner line</t>
        </is>
      </c>
      <c r="H3" s="2" t="inlineStr">
        <is>
          <t>капли</t>
        </is>
      </c>
      <c r="I3" s="2" t="inlineStr">
        <is>
          <t>row of small drops</t>
        </is>
      </c>
    </row>
    <row r="4">
      <c r="A4" s="2" t="inlineStr">
        <is>
          <t>Нити</t>
        </is>
      </c>
      <c r="B4" s="2" t="inlineStr">
        <is>
          <t>Мокошь</t>
        </is>
      </c>
      <c r="C4" s="2" t="inlineStr">
        <is>
          <t>Хляби</t>
        </is>
      </c>
      <c r="D4" s="2" t="inlineStr">
        <is>
          <t>03-niti</t>
        </is>
      </c>
      <c r="E4" s="2" t="inlineStr">
        <is>
          <t>#D9C9A0</t>
        </is>
      </c>
      <c r="F4" s="2" t="inlineStr">
        <is>
          <t>unbleached linen (#D9C9A0)</t>
        </is>
      </c>
      <c r="G4" s="2" t="inlineStr"/>
      <c r="H4" s="2" t="inlineStr">
        <is>
          <t>переплёт</t>
        </is>
      </c>
      <c r="I4" s="2" t="inlineStr">
        <is>
          <t>thin interlaced weave</t>
        </is>
      </c>
    </row>
    <row r="5">
      <c r="A5" s="2" t="inlineStr">
        <is>
          <t>Ярь</t>
        </is>
      </c>
      <c r="B5" s="2" t="inlineStr">
        <is>
          <t>Ярило</t>
        </is>
      </c>
      <c r="C5" s="2" t="inlineStr">
        <is>
          <t>Кострище</t>
        </is>
      </c>
      <c r="D5" s="2" t="inlineStr">
        <is>
          <t>04-yar</t>
        </is>
      </c>
      <c r="E5" s="2" t="inlineStr">
        <is>
          <t>#8A1020</t>
        </is>
      </c>
      <c r="F5" s="2" t="inlineStr">
        <is>
          <t>deep crimson (#8A1020)</t>
        </is>
      </c>
      <c r="G5" s="2" t="inlineStr"/>
      <c r="H5" s="2" t="inlineStr">
        <is>
          <t>колосья</t>
        </is>
      </c>
      <c r="I5" s="2" t="inlineStr">
        <is>
          <t>row of small wheat ears</t>
        </is>
      </c>
    </row>
    <row r="6">
      <c r="A6" s="2" t="inlineStr">
        <is>
          <t>Порча</t>
        </is>
      </c>
      <c r="B6" s="2" t="inlineStr">
        <is>
          <t>Чернобог</t>
        </is>
      </c>
      <c r="C6" s="2" t="inlineStr">
        <is>
          <t>Пекло</t>
        </is>
      </c>
      <c r="D6" s="2" t="inlineStr">
        <is>
          <t>05-porcha</t>
        </is>
      </c>
      <c r="E6" s="2" t="inlineStr">
        <is>
          <t>#2A2230</t>
        </is>
      </c>
      <c r="F6" s="2" t="inlineStr">
        <is>
          <t>near-black violet (#2A2230)</t>
        </is>
      </c>
      <c r="G6" s="2" t="inlineStr">
        <is>
          <t xml:space="preserve"> with thin murky olive (#6B6B2A) inner line</t>
        </is>
      </c>
      <c r="H6" s="2" t="inlineStr">
        <is>
          <t>пятна</t>
        </is>
      </c>
      <c r="I6" s="2" t="inlineStr">
        <is>
          <t>ring of irregular blotches</t>
        </is>
      </c>
    </row>
    <row r="7">
      <c r="A7" s="2" t="inlineStr">
        <is>
          <t>Солнце</t>
        </is>
      </c>
      <c r="B7" s="2" t="inlineStr">
        <is>
          <t>Дажьбог</t>
        </is>
      </c>
      <c r="C7" s="2" t="inlineStr">
        <is>
          <t>Степь</t>
        </is>
      </c>
      <c r="D7" s="2" t="inlineStr">
        <is>
          <t>06-solnce</t>
        </is>
      </c>
      <c r="E7" s="2" t="inlineStr">
        <is>
          <t>#FFA62B</t>
        </is>
      </c>
      <c r="F7" s="2" t="inlineStr">
        <is>
          <t>warm amber (#FFA62B)</t>
        </is>
      </c>
      <c r="G7" s="2" t="inlineStr"/>
      <c r="H7" s="2" t="inlineStr">
        <is>
          <t>лучи</t>
        </is>
      </c>
      <c r="I7" s="2" t="inlineStr">
        <is>
          <t>ring of short sun rays</t>
        </is>
      </c>
    </row>
    <row r="8">
      <c r="A8" s="2" t="inlineStr">
        <is>
          <t>Ветер</t>
        </is>
      </c>
      <c r="B8" s="2" t="inlineStr">
        <is>
          <t>Стрибог</t>
        </is>
      </c>
      <c r="C8" s="2" t="inlineStr">
        <is>
          <t>Берег</t>
        </is>
      </c>
      <c r="D8" s="2" t="inlineStr">
        <is>
          <t>07-veter</t>
        </is>
      </c>
      <c r="E8" s="2" t="inlineStr">
        <is>
          <t>#A8D8C8</t>
        </is>
      </c>
      <c r="F8" s="2" t="inlineStr">
        <is>
          <t>pale sea green (#A8D8C8)</t>
        </is>
      </c>
      <c r="G8" s="2" t="inlineStr"/>
      <c r="H8" s="2" t="inlineStr">
        <is>
          <t>завиток</t>
        </is>
      </c>
      <c r="I8" s="2" t="inlineStr">
        <is>
          <t>ring of small curls</t>
        </is>
      </c>
    </row>
    <row r="9">
      <c r="A9" s="2" t="inlineStr">
        <is>
          <t>Жар</t>
        </is>
      </c>
      <c r="B9" s="2" t="inlineStr">
        <is>
          <t>Сварог</t>
        </is>
      </c>
      <c r="C9" s="2" t="inlineStr">
        <is>
          <t>Горнило</t>
        </is>
      </c>
      <c r="D9" s="2" t="inlineStr">
        <is>
          <t>08-zhar</t>
        </is>
      </c>
      <c r="E9" s="2" t="inlineStr">
        <is>
          <t>#FF6A1A</t>
        </is>
      </c>
      <c r="F9" s="2" t="inlineStr">
        <is>
          <t>forge orange (#FF6A1A) fading to dark rust (#7A2A10)</t>
        </is>
      </c>
      <c r="G9" s="2" t="inlineStr"/>
      <c r="H9" s="2" t="inlineStr">
        <is>
          <t>зубцы-язычки</t>
        </is>
      </c>
      <c r="I9" s="2" t="inlineStr">
        <is>
          <t>ring of small flame tongues</t>
        </is>
      </c>
    </row>
    <row r="10">
      <c r="A10" s="2" t="inlineStr">
        <is>
          <t>Общая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00-common</t>
        </is>
      </c>
      <c r="E10" s="2" t="inlineStr">
        <is>
          <t>#9A9A9A</t>
        </is>
      </c>
      <c r="F10" s="2" t="inlineStr">
        <is>
          <t>neutral stone grey (#9A9A9A)</t>
        </is>
      </c>
      <c r="G10" s="2" t="inlineStr"/>
      <c r="H10" s="2" t="inlineStr">
        <is>
          <t>нет</t>
        </is>
      </c>
      <c r="I10" s="2" t="inlineStr">
        <is>
          <t>plain edge</t>
        </is>
      </c>
    </row>
    <row r="13">
      <c r="A13" s="8" t="inlineStr">
        <is>
          <t>Глагол</t>
        </is>
      </c>
      <c r="B13" s="8" t="inlineStr">
        <is>
          <t>Узор</t>
        </is>
      </c>
      <c r="C13" s="8" t="inlineStr">
        <is>
          <t>Узор (для промта)</t>
        </is>
      </c>
    </row>
    <row r="14">
      <c r="A14" s="2" t="inlineStr">
        <is>
          <t>площадь</t>
        </is>
      </c>
      <c r="B14" s="2" t="inlineStr">
        <is>
          <t>круг с точкой</t>
        </is>
      </c>
      <c r="C14" s="2" t="inlineStr">
        <is>
          <t>a circle with a dot in its center</t>
        </is>
      </c>
    </row>
    <row r="15">
      <c r="A15" s="2" t="inlineStr">
        <is>
          <t>обездвиживание</t>
        </is>
      </c>
      <c r="B15" s="2" t="inlineStr">
        <is>
          <t>крест в круге</t>
        </is>
      </c>
      <c r="C15" s="2" t="inlineStr">
        <is>
          <t>a cross inside a circle</t>
        </is>
      </c>
    </row>
    <row r="16">
      <c r="A16" s="2" t="inlineStr">
        <is>
          <t>цепь</t>
        </is>
      </c>
      <c r="B16" s="2" t="inlineStr">
        <is>
          <t>три точки на линии</t>
        </is>
      </c>
      <c r="C16" s="2" t="inlineStr">
        <is>
          <t>three dots on one straight line</t>
        </is>
      </c>
    </row>
    <row r="17">
      <c r="A17" s="2" t="inlineStr">
        <is>
          <t>снаряд</t>
        </is>
      </c>
      <c r="B17" s="2" t="inlineStr">
        <is>
          <t>точка + черта</t>
        </is>
      </c>
      <c r="C17" s="2" t="inlineStr">
        <is>
          <t>a dot followed by a short dash</t>
        </is>
      </c>
    </row>
    <row r="18">
      <c r="A18" s="2" t="inlineStr">
        <is>
          <t>дебафф</t>
        </is>
      </c>
      <c r="B18" s="2" t="inlineStr">
        <is>
          <t>перечёркнутый ромб</t>
        </is>
      </c>
      <c r="C18" s="2" t="inlineStr">
        <is>
          <t>a small diamond crossed by a slash</t>
        </is>
      </c>
    </row>
    <row r="19">
      <c r="A19" s="2" t="inlineStr">
        <is>
          <t>щит</t>
        </is>
      </c>
      <c r="B19" s="2" t="inlineStr">
        <is>
          <t>полукруг-чаша</t>
        </is>
      </c>
      <c r="C19" s="2" t="inlineStr">
        <is>
          <t>a half circle open upward like a bowl, with a short vertical stroke above its center</t>
        </is>
      </c>
    </row>
    <row r="20">
      <c r="A20" s="2" t="inlineStr">
        <is>
          <t>призыв</t>
        </is>
      </c>
      <c r="B20" s="2" t="inlineStr">
        <is>
          <t>фигурка-столбик</t>
        </is>
      </c>
      <c r="C20" s="2" t="inlineStr">
        <is>
          <t>a small standing post figure</t>
        </is>
      </c>
    </row>
    <row r="21">
      <c r="A21" s="2" t="inlineStr">
        <is>
          <t>рывок</t>
        </is>
      </c>
      <c r="B21" s="2" t="inlineStr">
        <is>
          <t>стрела с хвостом</t>
        </is>
      </c>
      <c r="C21" s="2" t="inlineStr">
        <is>
          <t>an arrow with a feathered tail</t>
        </is>
      </c>
    </row>
    <row r="22">
      <c r="A22" s="2" t="inlineStr">
        <is>
          <t>лечение</t>
        </is>
      </c>
      <c r="B22" s="2" t="inlineStr">
        <is>
          <t>росток</t>
        </is>
      </c>
      <c r="C22" s="2" t="inlineStr">
        <is>
          <t>a small sprout with two leaves</t>
        </is>
      </c>
    </row>
    <row r="23">
      <c r="A23" s="2" t="inlineStr">
        <is>
          <t>аура</t>
        </is>
      </c>
      <c r="B23" s="2" t="inlineStr">
        <is>
          <t>круг из черточек</t>
        </is>
      </c>
      <c r="C23" s="2" t="inlineStr">
        <is>
          <t>a ring made of short dashes</t>
        </is>
      </c>
    </row>
    <row r="26">
      <c r="A26" s="8" t="inlineStr">
        <is>
          <t>Метка</t>
        </is>
      </c>
      <c r="B26" s="8" t="inlineStr">
        <is>
          <t>Рамка</t>
        </is>
      </c>
      <c r="C26" s="8" t="inlineStr">
        <is>
          <t>Рамка (для промта)</t>
        </is>
      </c>
    </row>
    <row r="27">
      <c r="A27" s="2" t="inlineStr">
        <is>
          <t>удар</t>
        </is>
      </c>
      <c r="B27" s="2" t="inlineStr">
        <is>
          <t>квадрат (фаска 14 px)</t>
        </is>
      </c>
      <c r="C27" s="2" t="inlineStr">
        <is>
          <t>square frame with chamfered corners</t>
        </is>
      </c>
    </row>
    <row r="28">
      <c r="A28" s="2" t="inlineStr">
        <is>
          <t>выстрел</t>
        </is>
      </c>
      <c r="B28" s="2" t="inlineStr">
        <is>
          <t>ромб</t>
        </is>
      </c>
      <c r="C28" s="2" t="inlineStr">
        <is>
          <t>diamond frame</t>
        </is>
      </c>
    </row>
    <row r="29">
      <c r="A29" s="2" t="inlineStr">
        <is>
          <t>чары</t>
        </is>
      </c>
      <c r="B29" s="2" t="inlineStr">
        <is>
          <t>круг</t>
        </is>
      </c>
      <c r="C29" s="2" t="inlineStr">
        <is>
          <t>circle frame</t>
        </is>
      </c>
    </row>
    <row r="30">
      <c r="A30" s="2" t="inlineStr">
        <is>
          <t>поддержка</t>
        </is>
      </c>
      <c r="B30" s="2" t="inlineStr">
        <is>
          <t>двойное тонкое кольцо [Д]</t>
        </is>
      </c>
      <c r="C30" s="2" t="inlineStr">
        <is>
          <t>thin double ring frame</t>
        </is>
      </c>
    </row>
    <row r="32">
      <c r="A32" s="3" t="inlineStr">
        <is>
          <t>Негатив-промт</t>
        </is>
      </c>
      <c r="B32" s="2" t="inlineStr">
        <is>
          <t>red-white, silver glow, neon, cyberpunk, gold, glass, text, logo, letters, cartoon, anime, 3d perspective</t>
        </is>
      </c>
    </row>
    <row r="33">
      <c r="A33" s="2" t="inlineStr">
        <is>
          <t>Примечание</t>
        </is>
      </c>
      <c r="B33" s="2" t="inlineStr">
        <is>
          <t>Промт по шаблону docs/art/skills/README.md: холст 256×256, фон #1E2230, рамка по метке, узор по глаголу, знак по краю по стихии. Промты на английском — так требуют генераторы. Цвет «Нити»: взят #D9C9A0 из style_v0.1 (в art README — «зелень льна», расхождение открыто).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40" customWidth="1" min="3" max="3"/>
    <col width="11" customWidth="1" min="4" max="4"/>
    <col width="7" customWidth="1" min="5" max="5"/>
    <col width="12" customWidth="1" min="6" max="6"/>
    <col width="60" customWidth="1" min="7" max="7"/>
  </cols>
  <sheetData>
    <row r="1">
      <c r="A1" s="4" t="inlineStr">
        <is>
          <t>Название</t>
        </is>
      </c>
      <c r="B1" s="4" t="inlineStr">
        <is>
          <t>Ранг</t>
        </is>
      </c>
      <c r="C1" s="4" t="inlineStr">
        <is>
          <t>Теги</t>
        </is>
      </c>
      <c r="D1" s="4" t="inlineStr">
        <is>
          <t>Биом</t>
        </is>
      </c>
      <c r="E1" s="4" t="inlineStr">
        <is>
          <t>Ярь</t>
        </is>
      </c>
      <c r="F1" s="4" t="inlineStr">
        <is>
          <t>Урон/с по откату</t>
        </is>
      </c>
      <c r="G1" s="4" t="inlineStr">
        <is>
          <t>Описание</t>
        </is>
      </c>
    </row>
    <row r="2">
      <c r="A2" s="2" t="inlineStr">
        <is>
          <t>Громовой удар</t>
        </is>
      </c>
      <c r="B2" s="9">
        <f>INDEX(Параметры!$I$2:$I$113,MATCH($A2,Параметры!$A$2:$A$113,0))</f>
        <v/>
      </c>
      <c r="C2" s="9">
        <f>INDEX(Параметры!$M$2:$M$113,MATCH($A2,Параметры!$A$2:$A$113,0))</f>
        <v/>
      </c>
      <c r="D2" s="9">
        <f>INDEX(Параметры!$C$2:$C$113,MATCH($A2,Параметры!$A$2:$A$113,0))</f>
        <v/>
      </c>
      <c r="E2" s="9">
        <f>INDEX(Параметры!$AA$2:$AA$113,MATCH($A2,Параметры!$A$2:$A$113,0))</f>
        <v/>
      </c>
      <c r="F2" s="10">
        <f>INDEX(Параметры!$AC$2:$AC$113,MATCH($A2,Параметры!$A$2:$A$113,0))</f>
        <v/>
      </c>
      <c r="G2" s="9">
        <f>INDEX(Параметры!$AF$2:$AF$113,MATCH($A2,Параметры!$A$2:$A$113,0))</f>
        <v/>
      </c>
    </row>
    <row r="3">
      <c r="A3" s="2" t="inlineStr">
        <is>
          <t>Било</t>
        </is>
      </c>
      <c r="B3" s="9">
        <f>INDEX(Параметры!$I$2:$I$113,MATCH($A3,Параметры!$A$2:$A$113,0))</f>
        <v/>
      </c>
      <c r="C3" s="9">
        <f>INDEX(Параметры!$M$2:$M$113,MATCH($A3,Параметры!$A$2:$A$113,0))</f>
        <v/>
      </c>
      <c r="D3" s="9">
        <f>INDEX(Параметры!$C$2:$C$113,MATCH($A3,Параметры!$A$2:$A$113,0))</f>
        <v/>
      </c>
      <c r="E3" s="9">
        <f>INDEX(Параметры!$AA$2:$AA$113,MATCH($A3,Параметры!$A$2:$A$113,0))</f>
        <v/>
      </c>
      <c r="F3" s="10">
        <f>INDEX(Параметры!$AC$2:$AC$113,MATCH($A3,Параметры!$A$2:$A$113,0))</f>
        <v/>
      </c>
      <c r="G3" s="9">
        <f>INDEX(Параметры!$AF$2:$AF$113,MATCH($A3,Параметры!$A$2:$A$113,0))</f>
        <v/>
      </c>
    </row>
    <row r="4">
      <c r="A4" s="2" t="inlineStr">
        <is>
          <t>Цепная искра</t>
        </is>
      </c>
      <c r="B4" s="9">
        <f>INDEX(Параметры!$I$2:$I$113,MATCH($A4,Параметры!$A$2:$A$113,0))</f>
        <v/>
      </c>
      <c r="C4" s="9">
        <f>INDEX(Параметры!$M$2:$M$113,MATCH($A4,Параметры!$A$2:$A$113,0))</f>
        <v/>
      </c>
      <c r="D4" s="9">
        <f>INDEX(Параметры!$C$2:$C$113,MATCH($A4,Параметры!$A$2:$A$113,0))</f>
        <v/>
      </c>
      <c r="E4" s="9">
        <f>INDEX(Параметры!$AA$2:$AA$113,MATCH($A4,Параметры!$A$2:$A$113,0))</f>
        <v/>
      </c>
      <c r="F4" s="10">
        <f>INDEX(Параметры!$AC$2:$AC$113,MATCH($A4,Параметры!$A$2:$A$113,0))</f>
        <v/>
      </c>
      <c r="G4" s="9">
        <f>INDEX(Параметры!$AF$2:$AF$113,MATCH($A4,Параметры!$A$2:$A$113,0))</f>
        <v/>
      </c>
    </row>
    <row r="5">
      <c r="A5" s="2" t="inlineStr">
        <is>
          <t>Суд Перуна</t>
        </is>
      </c>
      <c r="B5" s="9">
        <f>INDEX(Параметры!$I$2:$I$113,MATCH($A5,Параметры!$A$2:$A$113,0))</f>
        <v/>
      </c>
      <c r="C5" s="9">
        <f>INDEX(Параметры!$M$2:$M$113,MATCH($A5,Параметры!$A$2:$A$113,0))</f>
        <v/>
      </c>
      <c r="D5" s="9">
        <f>INDEX(Параметры!$C$2:$C$113,MATCH($A5,Параметры!$A$2:$A$113,0))</f>
        <v/>
      </c>
      <c r="E5" s="9">
        <f>INDEX(Параметры!$AA$2:$AA$113,MATCH($A5,Параметры!$A$2:$A$113,0))</f>
        <v/>
      </c>
      <c r="F5" s="10">
        <f>INDEX(Параметры!$AC$2:$AC$113,MATCH($A5,Параметры!$A$2:$A$113,0))</f>
        <v/>
      </c>
      <c r="G5" s="9">
        <f>INDEX(Параметры!$AF$2:$AF$113,MATCH($A5,Параметры!$A$2:$A$113,0))</f>
        <v/>
      </c>
    </row>
    <row r="6">
      <c r="A6" s="2" t="inlineStr">
        <is>
          <t>Оберег грозы</t>
        </is>
      </c>
      <c r="B6" s="9">
        <f>INDEX(Параметры!$I$2:$I$113,MATCH($A6,Параметры!$A$2:$A$113,0))</f>
        <v/>
      </c>
      <c r="C6" s="9">
        <f>INDEX(Параметры!$M$2:$M$113,MATCH($A6,Параметры!$A$2:$A$113,0))</f>
        <v/>
      </c>
      <c r="D6" s="9">
        <f>INDEX(Параметры!$C$2:$C$113,MATCH($A6,Параметры!$A$2:$A$113,0))</f>
        <v/>
      </c>
      <c r="E6" s="9">
        <f>INDEX(Параметры!$AA$2:$AA$113,MATCH($A6,Параметры!$A$2:$A$113,0))</f>
        <v/>
      </c>
      <c r="F6" s="10">
        <f>INDEX(Параметры!$AC$2:$AC$113,MATCH($A6,Параметры!$A$2:$A$113,0))</f>
        <v/>
      </c>
      <c r="G6" s="9">
        <f>INDEX(Параметры!$AF$2:$AF$113,MATCH($A6,Параметры!$A$2:$A$113,0))</f>
        <v/>
      </c>
    </row>
    <row r="7">
      <c r="A7" s="2" t="inlineStr">
        <is>
          <t>Дубовая кора</t>
        </is>
      </c>
      <c r="B7" s="9">
        <f>INDEX(Параметры!$I$2:$I$113,MATCH($A7,Параметры!$A$2:$A$113,0))</f>
        <v/>
      </c>
      <c r="C7" s="9">
        <f>INDEX(Параметры!$M$2:$M$113,MATCH($A7,Параметры!$A$2:$A$113,0))</f>
        <v/>
      </c>
      <c r="D7" s="9">
        <f>INDEX(Параметры!$C$2:$C$113,MATCH($A7,Параметры!$A$2:$A$113,0))</f>
        <v/>
      </c>
      <c r="E7" s="9">
        <f>INDEX(Параметры!$AA$2:$AA$113,MATCH($A7,Параметры!$A$2:$A$113,0))</f>
        <v/>
      </c>
      <c r="F7" s="10">
        <f>INDEX(Параметры!$AC$2:$AC$113,MATCH($A7,Параметры!$A$2:$A$113,0))</f>
        <v/>
      </c>
      <c r="G7" s="9">
        <f>INDEX(Параметры!$AF$2:$AF$113,MATCH($A7,Параметры!$A$2:$A$113,0))</f>
        <v/>
      </c>
    </row>
    <row r="8">
      <c r="A8" s="2" t="inlineStr">
        <is>
          <t>Весть дозорного</t>
        </is>
      </c>
      <c r="B8" s="9">
        <f>INDEX(Параметры!$I$2:$I$113,MATCH($A8,Параметры!$A$2:$A$113,0))</f>
        <v/>
      </c>
      <c r="C8" s="9">
        <f>INDEX(Параметры!$M$2:$M$113,MATCH($A8,Параметры!$A$2:$A$113,0))</f>
        <v/>
      </c>
      <c r="D8" s="9">
        <f>INDEX(Параметры!$C$2:$C$113,MATCH($A8,Параметры!$A$2:$A$113,0))</f>
        <v/>
      </c>
      <c r="E8" s="9">
        <f>INDEX(Параметры!$AA$2:$AA$113,MATCH($A8,Параметры!$A$2:$A$113,0))</f>
        <v/>
      </c>
      <c r="F8" s="10">
        <f>INDEX(Параметры!$AC$2:$AC$113,MATCH($A8,Параметры!$A$2:$A$113,0))</f>
        <v/>
      </c>
      <c r="G8" s="9">
        <f>INDEX(Параметры!$AF$2:$AF$113,MATCH($A8,Параметры!$A$2:$A$113,0))</f>
        <v/>
      </c>
    </row>
    <row r="9">
      <c r="A9" s="2" t="inlineStr">
        <is>
          <t>Межевой дождь</t>
        </is>
      </c>
      <c r="B9" s="9">
        <f>INDEX(Параметры!$I$2:$I$113,MATCH($A9,Параметры!$A$2:$A$113,0))</f>
        <v/>
      </c>
      <c r="C9" s="9">
        <f>INDEX(Параметры!$M$2:$M$113,MATCH($A9,Параметры!$A$2:$A$113,0))</f>
        <v/>
      </c>
      <c r="D9" s="9">
        <f>INDEX(Параметры!$C$2:$C$113,MATCH($A9,Параметры!$A$2:$A$113,0))</f>
        <v/>
      </c>
      <c r="E9" s="9">
        <f>INDEX(Параметры!$AA$2:$AA$113,MATCH($A9,Параметры!$A$2:$A$113,0))</f>
        <v/>
      </c>
      <c r="F9" s="10">
        <f>INDEX(Параметры!$AC$2:$AC$113,MATCH($A9,Параметры!$A$2:$A$113,0))</f>
        <v/>
      </c>
      <c r="G9" s="9">
        <f>INDEX(Параметры!$AF$2:$AF$113,MATCH($A9,Параметры!$A$2:$A$113,0))</f>
        <v/>
      </c>
    </row>
    <row r="10">
      <c r="A10" s="2" t="inlineStr">
        <is>
          <t>Идол-громник</t>
        </is>
      </c>
      <c r="B10" s="9">
        <f>INDEX(Параметры!$I$2:$I$113,MATCH($A10,Параметры!$A$2:$A$113,0))</f>
        <v/>
      </c>
      <c r="C10" s="9">
        <f>INDEX(Параметры!$M$2:$M$113,MATCH($A10,Параметры!$A$2:$A$113,0))</f>
        <v/>
      </c>
      <c r="D10" s="9">
        <f>INDEX(Параметры!$C$2:$C$113,MATCH($A10,Параметры!$A$2:$A$113,0))</f>
        <v/>
      </c>
      <c r="E10" s="9">
        <f>INDEX(Параметры!$AA$2:$AA$113,MATCH($A10,Параметры!$A$2:$A$113,0))</f>
        <v/>
      </c>
      <c r="F10" s="10">
        <f>INDEX(Параметры!$AC$2:$AC$113,MATCH($A10,Параметры!$A$2:$A$113,0))</f>
        <v/>
      </c>
      <c r="G10" s="9">
        <f>INDEX(Параметры!$AF$2:$AF$113,MATCH($A10,Параметры!$A$2:$A$113,0))</f>
        <v/>
      </c>
    </row>
    <row r="11">
      <c r="A11" s="2" t="inlineStr">
        <is>
          <t>Громовая стрела</t>
        </is>
      </c>
      <c r="B11" s="9">
        <f>INDEX(Параметры!$I$2:$I$113,MATCH($A11,Параметры!$A$2:$A$113,0))</f>
        <v/>
      </c>
      <c r="C11" s="9">
        <f>INDEX(Параметры!$M$2:$M$113,MATCH($A11,Параметры!$A$2:$A$113,0))</f>
        <v/>
      </c>
      <c r="D11" s="9">
        <f>INDEX(Параметры!$C$2:$C$113,MATCH($A11,Параметры!$A$2:$A$113,0))</f>
        <v/>
      </c>
      <c r="E11" s="9">
        <f>INDEX(Параметры!$AA$2:$AA$113,MATCH($A11,Параметры!$A$2:$A$113,0))</f>
        <v/>
      </c>
      <c r="F11" s="10">
        <f>INDEX(Параметры!$AC$2:$AC$113,MATCH($A11,Параметры!$A$2:$A$113,0))</f>
        <v/>
      </c>
      <c r="G11" s="9">
        <f>INDEX(Параметры!$AF$2:$AF$113,MATCH($A11,Параметры!$A$2:$A$113,0))</f>
        <v/>
      </c>
    </row>
    <row r="12">
      <c r="A12" s="2" t="inlineStr">
        <is>
          <t>Громоотвод</t>
        </is>
      </c>
      <c r="B12" s="9">
        <f>INDEX(Параметры!$I$2:$I$113,MATCH($A12,Параметры!$A$2:$A$113,0))</f>
        <v/>
      </c>
      <c r="C12" s="9">
        <f>INDEX(Параметры!$M$2:$M$113,MATCH($A12,Параметры!$A$2:$A$113,0))</f>
        <v/>
      </c>
      <c r="D12" s="9">
        <f>INDEX(Параметры!$C$2:$C$113,MATCH($A12,Параметры!$A$2:$A$113,0))</f>
        <v/>
      </c>
      <c r="E12" s="9">
        <f>INDEX(Параметры!$AA$2:$AA$113,MATCH($A12,Параметры!$A$2:$A$113,0))</f>
        <v/>
      </c>
      <c r="F12" s="10">
        <f>INDEX(Параметры!$AC$2:$AC$113,MATCH($A12,Параметры!$A$2:$A$113,0))</f>
        <v/>
      </c>
      <c r="G12" s="9">
        <f>INDEX(Параметры!$AF$2:$AF$113,MATCH($A12,Параметры!$A$2:$A$113,0))</f>
        <v/>
      </c>
    </row>
    <row r="13">
      <c r="A13" s="2" t="inlineStr">
        <is>
          <t>Предгрозье</t>
        </is>
      </c>
      <c r="B13" s="9">
        <f>INDEX(Параметры!$I$2:$I$113,MATCH($A13,Параметры!$A$2:$A$113,0))</f>
        <v/>
      </c>
      <c r="C13" s="9">
        <f>INDEX(Параметры!$M$2:$M$113,MATCH($A13,Параметры!$A$2:$A$113,0))</f>
        <v/>
      </c>
      <c r="D13" s="9">
        <f>INDEX(Параметры!$C$2:$C$113,MATCH($A13,Параметры!$A$2:$A$113,0))</f>
        <v/>
      </c>
      <c r="E13" s="9">
        <f>INDEX(Параметры!$AA$2:$AA$113,MATCH($A13,Параметры!$A$2:$A$113,0))</f>
        <v/>
      </c>
      <c r="F13" s="10">
        <f>INDEX(Параметры!$AC$2:$AC$113,MATCH($A13,Параметры!$A$2:$A$113,0))</f>
        <v/>
      </c>
      <c r="G13" s="9">
        <f>INDEX(Параметры!$AF$2:$AF$113,MATCH($A13,Параметры!$A$2:$A$113,0))</f>
        <v/>
      </c>
    </row>
    <row r="14">
      <c r="A14" s="2" t="inlineStr">
        <is>
          <t>Сполох</t>
        </is>
      </c>
      <c r="B14" s="9">
        <f>INDEX(Параметры!$I$2:$I$113,MATCH($A14,Параметры!$A$2:$A$113,0))</f>
        <v/>
      </c>
      <c r="C14" s="9">
        <f>INDEX(Параметры!$M$2:$M$113,MATCH($A14,Параметры!$A$2:$A$113,0))</f>
        <v/>
      </c>
      <c r="D14" s="9">
        <f>INDEX(Параметры!$C$2:$C$113,MATCH($A14,Параметры!$A$2:$A$113,0))</f>
        <v/>
      </c>
      <c r="E14" s="9">
        <f>INDEX(Параметры!$AA$2:$AA$113,MATCH($A14,Параметры!$A$2:$A$113,0))</f>
        <v/>
      </c>
      <c r="F14" s="10">
        <f>INDEX(Параметры!$AC$2:$AC$113,MATCH($A14,Параметры!$A$2:$A$113,0))</f>
        <v/>
      </c>
      <c r="G14" s="9">
        <f>INDEX(Параметры!$AF$2:$AF$113,MATCH($A14,Параметры!$A$2:$A$113,0))</f>
        <v/>
      </c>
    </row>
    <row r="15">
      <c r="A15" s="2" t="inlineStr">
        <is>
          <t>Перунов след</t>
        </is>
      </c>
      <c r="B15" s="9">
        <f>INDEX(Параметры!$I$2:$I$113,MATCH($A15,Параметры!$A$2:$A$113,0))</f>
        <v/>
      </c>
      <c r="C15" s="9">
        <f>INDEX(Параметры!$M$2:$M$113,MATCH($A15,Параметры!$A$2:$A$113,0))</f>
        <v/>
      </c>
      <c r="D15" s="9">
        <f>INDEX(Параметры!$C$2:$C$113,MATCH($A15,Параметры!$A$2:$A$113,0))</f>
        <v/>
      </c>
      <c r="E15" s="9">
        <f>INDEX(Параметры!$AA$2:$AA$113,MATCH($A15,Параметры!$A$2:$A$113,0))</f>
        <v/>
      </c>
      <c r="F15" s="10">
        <f>INDEX(Параметры!$AC$2:$AC$113,MATCH($A15,Параметры!$A$2:$A$113,0))</f>
        <v/>
      </c>
      <c r="G15" s="9">
        <f>INDEX(Параметры!$AF$2:$AF$113,MATCH($A15,Параметры!$A$2:$A$113,0))</f>
        <v/>
      </c>
    </row>
    <row r="16">
      <c r="A16" s="2" t="inlineStr">
        <is>
          <t>Рог тура</t>
        </is>
      </c>
      <c r="B16" s="9">
        <f>INDEX(Параметры!$I$2:$I$113,MATCH($A16,Параметры!$A$2:$A$113,0))</f>
        <v/>
      </c>
      <c r="C16" s="9">
        <f>INDEX(Параметры!$M$2:$M$113,MATCH($A16,Параметры!$A$2:$A$113,0))</f>
        <v/>
      </c>
      <c r="D16" s="9">
        <f>INDEX(Параметры!$C$2:$C$113,MATCH($A16,Параметры!$A$2:$A$113,0))</f>
        <v/>
      </c>
      <c r="E16" s="9">
        <f>INDEX(Параметры!$AA$2:$AA$113,MATCH($A16,Параметры!$A$2:$A$113,0))</f>
        <v/>
      </c>
      <c r="F16" s="10">
        <f>INDEX(Параметры!$AC$2:$AC$113,MATCH($A16,Параметры!$A$2:$A$113,0))</f>
        <v/>
      </c>
      <c r="G16" s="9">
        <f>INDEX(Параметры!$AF$2:$AF$113,MATCH($A16,Параметры!$A$2:$A$113,0))</f>
        <v/>
      </c>
    </row>
    <row r="17">
      <c r="A17" s="2" t="inlineStr">
        <is>
          <t>Копыто</t>
        </is>
      </c>
      <c r="B17" s="9">
        <f>INDEX(Параметры!$I$2:$I$113,MATCH($A17,Параметры!$A$2:$A$113,0))</f>
        <v/>
      </c>
      <c r="C17" s="9">
        <f>INDEX(Параметры!$M$2:$M$113,MATCH($A17,Параметры!$A$2:$A$113,0))</f>
        <v/>
      </c>
      <c r="D17" s="9">
        <f>INDEX(Параметры!$C$2:$C$113,MATCH($A17,Параметры!$A$2:$A$113,0))</f>
        <v/>
      </c>
      <c r="E17" s="9">
        <f>INDEX(Параметры!$AA$2:$AA$113,MATCH($A17,Параметры!$A$2:$A$113,0))</f>
        <v/>
      </c>
      <c r="F17" s="10">
        <f>INDEX(Параметры!$AC$2:$AC$113,MATCH($A17,Параметры!$A$2:$A$113,0))</f>
        <v/>
      </c>
      <c r="G17" s="9">
        <f>INDEX(Параметры!$AF$2:$AF$113,MATCH($A17,Параметры!$A$2:$A$113,0))</f>
        <v/>
      </c>
    </row>
    <row r="18">
      <c r="A18" s="2" t="inlineStr">
        <is>
          <t>Ртутная капля</t>
        </is>
      </c>
      <c r="B18" s="9">
        <f>INDEX(Параметры!$I$2:$I$113,MATCH($A18,Параметры!$A$2:$A$113,0))</f>
        <v/>
      </c>
      <c r="C18" s="9">
        <f>INDEX(Параметры!$M$2:$M$113,MATCH($A18,Параметры!$A$2:$A$113,0))</f>
        <v/>
      </c>
      <c r="D18" s="9">
        <f>INDEX(Параметры!$C$2:$C$113,MATCH($A18,Параметры!$A$2:$A$113,0))</f>
        <v/>
      </c>
      <c r="E18" s="9">
        <f>INDEX(Параметры!$AA$2:$AA$113,MATCH($A18,Параметры!$A$2:$A$113,0))</f>
        <v/>
      </c>
      <c r="F18" s="10">
        <f>INDEX(Параметры!$AC$2:$AC$113,MATCH($A18,Параметры!$A$2:$A$113,0))</f>
        <v/>
      </c>
      <c r="G18" s="9">
        <f>INDEX(Параметры!$AF$2:$AF$113,MATCH($A18,Параметры!$A$2:$A$113,0))</f>
        <v/>
      </c>
    </row>
    <row r="19">
      <c r="A19" s="2" t="inlineStr">
        <is>
          <t>Тяжёлый зрак</t>
        </is>
      </c>
      <c r="B19" s="9">
        <f>INDEX(Параметры!$I$2:$I$113,MATCH($A19,Параметры!$A$2:$A$113,0))</f>
        <v/>
      </c>
      <c r="C19" s="9">
        <f>INDEX(Параметры!$M$2:$M$113,MATCH($A19,Параметры!$A$2:$A$113,0))</f>
        <v/>
      </c>
      <c r="D19" s="9">
        <f>INDEX(Параметры!$C$2:$C$113,MATCH($A19,Параметры!$A$2:$A$113,0))</f>
        <v/>
      </c>
      <c r="E19" s="9">
        <f>INDEX(Параметры!$AA$2:$AA$113,MATCH($A19,Параметры!$A$2:$A$113,0))</f>
        <v/>
      </c>
      <c r="F19" s="10">
        <f>INDEX(Параметры!$AC$2:$AC$113,MATCH($A19,Параметры!$A$2:$A$113,0))</f>
        <v/>
      </c>
      <c r="G19" s="9">
        <f>INDEX(Параметры!$AF$2:$AF$113,MATCH($A19,Параметры!$A$2:$A$113,0))</f>
        <v/>
      </c>
    </row>
    <row r="20">
      <c r="A20" s="2" t="inlineStr">
        <is>
          <t>Шкура стада</t>
        </is>
      </c>
      <c r="B20" s="9">
        <f>INDEX(Параметры!$I$2:$I$113,MATCH($A20,Параметры!$A$2:$A$113,0))</f>
        <v/>
      </c>
      <c r="C20" s="9">
        <f>INDEX(Параметры!$M$2:$M$113,MATCH($A20,Параметры!$A$2:$A$113,0))</f>
        <v/>
      </c>
      <c r="D20" s="9">
        <f>INDEX(Параметры!$C$2:$C$113,MATCH($A20,Параметры!$A$2:$A$113,0))</f>
        <v/>
      </c>
      <c r="E20" s="9">
        <f>INDEX(Параметры!$AA$2:$AA$113,MATCH($A20,Параметры!$A$2:$A$113,0))</f>
        <v/>
      </c>
      <c r="F20" s="10">
        <f>INDEX(Параметры!$AC$2:$AC$113,MATCH($A20,Параметры!$A$2:$A$113,0))</f>
        <v/>
      </c>
      <c r="G20" s="9">
        <f>INDEX(Параметры!$AF$2:$AF$113,MATCH($A20,Параметры!$A$2:$A$113,0))</f>
        <v/>
      </c>
    </row>
    <row r="21">
      <c r="A21" s="2" t="inlineStr">
        <is>
          <t>Ртутная кожа</t>
        </is>
      </c>
      <c r="B21" s="9">
        <f>INDEX(Параметры!$I$2:$I$113,MATCH($A21,Параметры!$A$2:$A$113,0))</f>
        <v/>
      </c>
      <c r="C21" s="9">
        <f>INDEX(Параметры!$M$2:$M$113,MATCH($A21,Параметры!$A$2:$A$113,0))</f>
        <v/>
      </c>
      <c r="D21" s="9">
        <f>INDEX(Параметры!$C$2:$C$113,MATCH($A21,Параметры!$A$2:$A$113,0))</f>
        <v/>
      </c>
      <c r="E21" s="9">
        <f>INDEX(Параметры!$AA$2:$AA$113,MATCH($A21,Параметры!$A$2:$A$113,0))</f>
        <v/>
      </c>
      <c r="F21" s="10">
        <f>INDEX(Параметры!$AC$2:$AC$113,MATCH($A21,Параметры!$A$2:$A$113,0))</f>
        <v/>
      </c>
      <c r="G21" s="9">
        <f>INDEX(Параметры!$AF$2:$AF$113,MATCH($A21,Параметры!$A$2:$A$113,0))</f>
        <v/>
      </c>
    </row>
    <row r="22">
      <c r="A22" s="2" t="inlineStr">
        <is>
          <t>Выпас</t>
        </is>
      </c>
      <c r="B22" s="9">
        <f>INDEX(Параметры!$I$2:$I$113,MATCH($A22,Параметры!$A$2:$A$113,0))</f>
        <v/>
      </c>
      <c r="C22" s="9">
        <f>INDEX(Параметры!$M$2:$M$113,MATCH($A22,Параметры!$A$2:$A$113,0))</f>
        <v/>
      </c>
      <c r="D22" s="9">
        <f>INDEX(Параметры!$C$2:$C$113,MATCH($A22,Параметры!$A$2:$A$113,0))</f>
        <v/>
      </c>
      <c r="E22" s="9">
        <f>INDEX(Параметры!$AA$2:$AA$113,MATCH($A22,Параметры!$A$2:$A$113,0))</f>
        <v/>
      </c>
      <c r="F22" s="10">
        <f>INDEX(Параметры!$AC$2:$AC$113,MATCH($A22,Параметры!$A$2:$A$113,0))</f>
        <v/>
      </c>
      <c r="G22" s="9">
        <f>INDEX(Параметры!$AF$2:$AF$113,MATCH($A22,Параметры!$A$2:$A$113,0))</f>
        <v/>
      </c>
    </row>
    <row r="23">
      <c r="A23" s="2" t="inlineStr">
        <is>
          <t>Песня пастушонка</t>
        </is>
      </c>
      <c r="B23" s="9">
        <f>INDEX(Параметры!$I$2:$I$113,MATCH($A23,Параметры!$A$2:$A$113,0))</f>
        <v/>
      </c>
      <c r="C23" s="9">
        <f>INDEX(Параметры!$M$2:$M$113,MATCH($A23,Параметры!$A$2:$A$113,0))</f>
        <v/>
      </c>
      <c r="D23" s="9">
        <f>INDEX(Параметры!$C$2:$C$113,MATCH($A23,Параметры!$A$2:$A$113,0))</f>
        <v/>
      </c>
      <c r="E23" s="9">
        <f>INDEX(Параметры!$AA$2:$AA$113,MATCH($A23,Параметры!$A$2:$A$113,0))</f>
        <v/>
      </c>
      <c r="F23" s="10">
        <f>INDEX(Параметры!$AC$2:$AC$113,MATCH($A23,Параметры!$A$2:$A$113,0))</f>
        <v/>
      </c>
      <c r="G23" s="9">
        <f>INDEX(Параметры!$AF$2:$AF$113,MATCH($A23,Параметры!$A$2:$A$113,0))</f>
        <v/>
      </c>
    </row>
    <row r="24">
      <c r="A24" s="2" t="inlineStr">
        <is>
          <t>Скотий круг</t>
        </is>
      </c>
      <c r="B24" s="9">
        <f>INDEX(Параметры!$I$2:$I$113,MATCH($A24,Параметры!$A$2:$A$113,0))</f>
        <v/>
      </c>
      <c r="C24" s="9">
        <f>INDEX(Параметры!$M$2:$M$113,MATCH($A24,Параметры!$A$2:$A$113,0))</f>
        <v/>
      </c>
      <c r="D24" s="9">
        <f>INDEX(Параметры!$C$2:$C$113,MATCH($A24,Параметры!$A$2:$A$113,0))</f>
        <v/>
      </c>
      <c r="E24" s="9">
        <f>INDEX(Параметры!$AA$2:$AA$113,MATCH($A24,Параметры!$A$2:$A$113,0))</f>
        <v/>
      </c>
      <c r="F24" s="10">
        <f>INDEX(Параметры!$AC$2:$AC$113,MATCH($A24,Параметры!$A$2:$A$113,0))</f>
        <v/>
      </c>
      <c r="G24" s="9">
        <f>INDEX(Параметры!$AF$2:$AF$113,MATCH($A24,Параметры!$A$2:$A$113,0))</f>
        <v/>
      </c>
    </row>
    <row r="25">
      <c r="A25" s="2" t="inlineStr">
        <is>
          <t>Велесово стадо</t>
        </is>
      </c>
      <c r="B25" s="9">
        <f>INDEX(Параметры!$I$2:$I$113,MATCH($A25,Параметры!$A$2:$A$113,0))</f>
        <v/>
      </c>
      <c r="C25" s="9">
        <f>INDEX(Параметры!$M$2:$M$113,MATCH($A25,Параметры!$A$2:$A$113,0))</f>
        <v/>
      </c>
      <c r="D25" s="9">
        <f>INDEX(Параметры!$C$2:$C$113,MATCH($A25,Параметры!$A$2:$A$113,0))</f>
        <v/>
      </c>
      <c r="E25" s="9">
        <f>INDEX(Параметры!$AA$2:$AA$113,MATCH($A25,Параметры!$A$2:$A$113,0))</f>
        <v/>
      </c>
      <c r="F25" s="10">
        <f>INDEX(Параметры!$AC$2:$AC$113,MATCH($A25,Параметры!$A$2:$A$113,0))</f>
        <v/>
      </c>
      <c r="G25" s="9">
        <f>INDEX(Параметры!$AF$2:$AF$113,MATCH($A25,Параметры!$A$2:$A$113,0))</f>
        <v/>
      </c>
    </row>
    <row r="26">
      <c r="A26" s="2" t="inlineStr">
        <is>
          <t>Мена</t>
        </is>
      </c>
      <c r="B26" s="9">
        <f>INDEX(Параметры!$I$2:$I$113,MATCH($A26,Параметры!$A$2:$A$113,0))</f>
        <v/>
      </c>
      <c r="C26" s="9">
        <f>INDEX(Параметры!$M$2:$M$113,MATCH($A26,Параметры!$A$2:$A$113,0))</f>
        <v/>
      </c>
      <c r="D26" s="9">
        <f>INDEX(Параметры!$C$2:$C$113,MATCH($A26,Параметры!$A$2:$A$113,0))</f>
        <v/>
      </c>
      <c r="E26" s="9">
        <f>INDEX(Параметры!$AA$2:$AA$113,MATCH($A26,Параметры!$A$2:$A$113,0))</f>
        <v/>
      </c>
      <c r="F26" s="10">
        <f>INDEX(Параметры!$AC$2:$AC$113,MATCH($A26,Параметры!$A$2:$A$113,0))</f>
        <v/>
      </c>
      <c r="G26" s="9">
        <f>INDEX(Параметры!$AF$2:$AF$113,MATCH($A26,Параметры!$A$2:$A$113,0))</f>
        <v/>
      </c>
    </row>
    <row r="27">
      <c r="A27" s="2" t="inlineStr">
        <is>
          <t>Омутная тишь</t>
        </is>
      </c>
      <c r="B27" s="9">
        <f>INDEX(Параметры!$I$2:$I$113,MATCH($A27,Параметры!$A$2:$A$113,0))</f>
        <v/>
      </c>
      <c r="C27" s="9">
        <f>INDEX(Параметры!$M$2:$M$113,MATCH($A27,Параметры!$A$2:$A$113,0))</f>
        <v/>
      </c>
      <c r="D27" s="9">
        <f>INDEX(Параметры!$C$2:$C$113,MATCH($A27,Параметры!$A$2:$A$113,0))</f>
        <v/>
      </c>
      <c r="E27" s="9">
        <f>INDEX(Параметры!$AA$2:$AA$113,MATCH($A27,Параметры!$A$2:$A$113,0))</f>
        <v/>
      </c>
      <c r="F27" s="10">
        <f>INDEX(Параметры!$AC$2:$AC$113,MATCH($A27,Параметры!$A$2:$A$113,0))</f>
        <v/>
      </c>
      <c r="G27" s="9">
        <f>INDEX(Параметры!$AF$2:$AF$113,MATCH($A27,Параметры!$A$2:$A$113,0))</f>
        <v/>
      </c>
    </row>
    <row r="28">
      <c r="A28" s="2" t="inlineStr">
        <is>
          <t>Нырок</t>
        </is>
      </c>
      <c r="B28" s="9">
        <f>INDEX(Параметры!$I$2:$I$113,MATCH($A28,Параметры!$A$2:$A$113,0))</f>
        <v/>
      </c>
      <c r="C28" s="9">
        <f>INDEX(Параметры!$M$2:$M$113,MATCH($A28,Параметры!$A$2:$A$113,0))</f>
        <v/>
      </c>
      <c r="D28" s="9">
        <f>INDEX(Параметры!$C$2:$C$113,MATCH($A28,Параметры!$A$2:$A$113,0))</f>
        <v/>
      </c>
      <c r="E28" s="9">
        <f>INDEX(Параметры!$AA$2:$AA$113,MATCH($A28,Параметры!$A$2:$A$113,0))</f>
        <v/>
      </c>
      <c r="F28" s="10">
        <f>INDEX(Параметры!$AC$2:$AC$113,MATCH($A28,Параметры!$A$2:$A$113,0))</f>
        <v/>
      </c>
      <c r="G28" s="9">
        <f>INDEX(Параметры!$AF$2:$AF$113,MATCH($A28,Параметры!$A$2:$A$113,0))</f>
        <v/>
      </c>
    </row>
    <row r="29">
      <c r="A29" s="2" t="inlineStr">
        <is>
          <t>Тропа домой</t>
        </is>
      </c>
      <c r="B29" s="9">
        <f>INDEX(Параметры!$I$2:$I$113,MATCH($A29,Параметры!$A$2:$A$113,0))</f>
        <v/>
      </c>
      <c r="C29" s="9">
        <f>INDEX(Параметры!$M$2:$M$113,MATCH($A29,Параметры!$A$2:$A$113,0))</f>
        <v/>
      </c>
      <c r="D29" s="9">
        <f>INDEX(Параметры!$C$2:$C$113,MATCH($A29,Параметры!$A$2:$A$113,0))</f>
        <v/>
      </c>
      <c r="E29" s="9">
        <f>INDEX(Параметры!$AA$2:$AA$113,MATCH($A29,Параметры!$A$2:$A$113,0))</f>
        <v/>
      </c>
      <c r="F29" s="10">
        <f>INDEX(Параметры!$AC$2:$AC$113,MATCH($A29,Параметры!$A$2:$A$113,0))</f>
        <v/>
      </c>
      <c r="G29" s="9">
        <f>INDEX(Параметры!$AF$2:$AF$113,MATCH($A29,Параметры!$A$2:$A$113,0))</f>
        <v/>
      </c>
    </row>
    <row r="30">
      <c r="A30" s="2" t="inlineStr">
        <is>
          <t>Трепало</t>
        </is>
      </c>
      <c r="B30" s="9">
        <f>INDEX(Параметры!$I$2:$I$113,MATCH($A30,Параметры!$A$2:$A$113,0))</f>
        <v/>
      </c>
      <c r="C30" s="9">
        <f>INDEX(Параметры!$M$2:$M$113,MATCH($A30,Параметры!$A$2:$A$113,0))</f>
        <v/>
      </c>
      <c r="D30" s="9">
        <f>INDEX(Параметры!$C$2:$C$113,MATCH($A30,Параметры!$A$2:$A$113,0))</f>
        <v/>
      </c>
      <c r="E30" s="9">
        <f>INDEX(Параметры!$AA$2:$AA$113,MATCH($A30,Параметры!$A$2:$A$113,0))</f>
        <v/>
      </c>
      <c r="F30" s="10">
        <f>INDEX(Параметры!$AC$2:$AC$113,MATCH($A30,Параметры!$A$2:$A$113,0))</f>
        <v/>
      </c>
      <c r="G30" s="9">
        <f>INDEX(Параметры!$AF$2:$AF$113,MATCH($A30,Параметры!$A$2:$A$113,0))</f>
        <v/>
      </c>
    </row>
    <row r="31">
      <c r="A31" s="2" t="inlineStr">
        <is>
          <t>Узел</t>
        </is>
      </c>
      <c r="B31" s="9">
        <f>INDEX(Параметры!$I$2:$I$113,MATCH($A31,Параметры!$A$2:$A$113,0))</f>
        <v/>
      </c>
      <c r="C31" s="9">
        <f>INDEX(Параметры!$M$2:$M$113,MATCH($A31,Параметры!$A$2:$A$113,0))</f>
        <v/>
      </c>
      <c r="D31" s="9">
        <f>INDEX(Параметры!$C$2:$C$113,MATCH($A31,Параметры!$A$2:$A$113,0))</f>
        <v/>
      </c>
      <c r="E31" s="9">
        <f>INDEX(Параметры!$AA$2:$AA$113,MATCH($A31,Параметры!$A$2:$A$113,0))</f>
        <v/>
      </c>
      <c r="F31" s="10">
        <f>INDEX(Параметры!$AC$2:$AC$113,MATCH($A31,Параметры!$A$2:$A$113,0))</f>
        <v/>
      </c>
      <c r="G31" s="9">
        <f>INDEX(Параметры!$AF$2:$AF$113,MATCH($A31,Параметры!$A$2:$A$113,0))</f>
        <v/>
      </c>
    </row>
    <row r="32">
      <c r="A32" s="2" t="inlineStr">
        <is>
          <t>Веретено</t>
        </is>
      </c>
      <c r="B32" s="9">
        <f>INDEX(Параметры!$I$2:$I$113,MATCH($A32,Параметры!$A$2:$A$113,0))</f>
        <v/>
      </c>
      <c r="C32" s="9">
        <f>INDEX(Параметры!$M$2:$M$113,MATCH($A32,Параметры!$A$2:$A$113,0))</f>
        <v/>
      </c>
      <c r="D32" s="9">
        <f>INDEX(Параметры!$C$2:$C$113,MATCH($A32,Параметры!$A$2:$A$113,0))</f>
        <v/>
      </c>
      <c r="E32" s="9">
        <f>INDEX(Параметры!$AA$2:$AA$113,MATCH($A32,Параметры!$A$2:$A$113,0))</f>
        <v/>
      </c>
      <c r="F32" s="10">
        <f>INDEX(Параметры!$AC$2:$AC$113,MATCH($A32,Параметры!$A$2:$A$113,0))</f>
        <v/>
      </c>
      <c r="G32" s="9">
        <f>INDEX(Параметры!$AF$2:$AF$113,MATCH($A32,Параметры!$A$2:$A$113,0))</f>
        <v/>
      </c>
    </row>
    <row r="33">
      <c r="A33" s="2" t="inlineStr">
        <is>
          <t>Прядь судьбы</t>
        </is>
      </c>
      <c r="B33" s="9">
        <f>INDEX(Параметры!$I$2:$I$113,MATCH($A33,Параметры!$A$2:$A$113,0))</f>
        <v/>
      </c>
      <c r="C33" s="9">
        <f>INDEX(Параметры!$M$2:$M$113,MATCH($A33,Параметры!$A$2:$A$113,0))</f>
        <v/>
      </c>
      <c r="D33" s="9">
        <f>INDEX(Параметры!$C$2:$C$113,MATCH($A33,Параметры!$A$2:$A$113,0))</f>
        <v/>
      </c>
      <c r="E33" s="9">
        <f>INDEX(Параметры!$AA$2:$AA$113,MATCH($A33,Параметры!$A$2:$A$113,0))</f>
        <v/>
      </c>
      <c r="F33" s="10">
        <f>INDEX(Параметры!$AC$2:$AC$113,MATCH($A33,Параметры!$A$2:$A$113,0))</f>
        <v/>
      </c>
      <c r="G33" s="9">
        <f>INDEX(Параметры!$AF$2:$AF$113,MATCH($A33,Параметры!$A$2:$A$113,0))</f>
        <v/>
      </c>
    </row>
    <row r="34">
      <c r="A34" s="2" t="inlineStr">
        <is>
          <t>Кросна</t>
        </is>
      </c>
      <c r="B34" s="9">
        <f>INDEX(Параметры!$I$2:$I$113,MATCH($A34,Параметры!$A$2:$A$113,0))</f>
        <v/>
      </c>
      <c r="C34" s="9">
        <f>INDEX(Параметры!$M$2:$M$113,MATCH($A34,Параметры!$A$2:$A$113,0))</f>
        <v/>
      </c>
      <c r="D34" s="9">
        <f>INDEX(Параметры!$C$2:$C$113,MATCH($A34,Параметры!$A$2:$A$113,0))</f>
        <v/>
      </c>
      <c r="E34" s="9">
        <f>INDEX(Параметры!$AA$2:$AA$113,MATCH($A34,Параметры!$A$2:$A$113,0))</f>
        <v/>
      </c>
      <c r="F34" s="10">
        <f>INDEX(Параметры!$AC$2:$AC$113,MATCH($A34,Параметры!$A$2:$A$113,0))</f>
        <v/>
      </c>
      <c r="G34" s="9">
        <f>INDEX(Параметры!$AF$2:$AF$113,MATCH($A34,Параметры!$A$2:$A$113,0))</f>
        <v/>
      </c>
    </row>
    <row r="35">
      <c r="A35" s="2" t="inlineStr">
        <is>
          <t>Чужой шов</t>
        </is>
      </c>
      <c r="B35" s="9">
        <f>INDEX(Параметры!$I$2:$I$113,MATCH($A35,Параметры!$A$2:$A$113,0))</f>
        <v/>
      </c>
      <c r="C35" s="9">
        <f>INDEX(Параметры!$M$2:$M$113,MATCH($A35,Параметры!$A$2:$A$113,0))</f>
        <v/>
      </c>
      <c r="D35" s="9">
        <f>INDEX(Параметры!$C$2:$C$113,MATCH($A35,Параметры!$A$2:$A$113,0))</f>
        <v/>
      </c>
      <c r="E35" s="9">
        <f>INDEX(Параметры!$AA$2:$AA$113,MATCH($A35,Параметры!$A$2:$A$113,0))</f>
        <v/>
      </c>
      <c r="F35" s="10">
        <f>INDEX(Параметры!$AC$2:$AC$113,MATCH($A35,Параметры!$A$2:$A$113,0))</f>
        <v/>
      </c>
      <c r="G35" s="9">
        <f>INDEX(Параметры!$AF$2:$AF$113,MATCH($A35,Параметры!$A$2:$A$113,0))</f>
        <v/>
      </c>
    </row>
    <row r="36">
      <c r="A36" s="2" t="inlineStr">
        <is>
          <t>Штопка</t>
        </is>
      </c>
      <c r="B36" s="9">
        <f>INDEX(Параметры!$I$2:$I$113,MATCH($A36,Параметры!$A$2:$A$113,0))</f>
        <v/>
      </c>
      <c r="C36" s="9">
        <f>INDEX(Параметры!$M$2:$M$113,MATCH($A36,Параметры!$A$2:$A$113,0))</f>
        <v/>
      </c>
      <c r="D36" s="9">
        <f>INDEX(Параметры!$C$2:$C$113,MATCH($A36,Параметры!$A$2:$A$113,0))</f>
        <v/>
      </c>
      <c r="E36" s="9">
        <f>INDEX(Параметры!$AA$2:$AA$113,MATCH($A36,Параметры!$A$2:$A$113,0))</f>
        <v/>
      </c>
      <c r="F36" s="10">
        <f>INDEX(Параметры!$AC$2:$AC$113,MATCH($A36,Параметры!$A$2:$A$113,0))</f>
        <v/>
      </c>
      <c r="G36" s="9">
        <f>INDEX(Параметры!$AF$2:$AF$113,MATCH($A36,Параметры!$A$2:$A$113,0))</f>
        <v/>
      </c>
    </row>
    <row r="37">
      <c r="A37" s="2" t="inlineStr">
        <is>
          <t>Суровая нить</t>
        </is>
      </c>
      <c r="B37" s="9">
        <f>INDEX(Параметры!$I$2:$I$113,MATCH($A37,Параметры!$A$2:$A$113,0))</f>
        <v/>
      </c>
      <c r="C37" s="9">
        <f>INDEX(Параметры!$M$2:$M$113,MATCH($A37,Параметры!$A$2:$A$113,0))</f>
        <v/>
      </c>
      <c r="D37" s="9">
        <f>INDEX(Параметры!$C$2:$C$113,MATCH($A37,Параметры!$A$2:$A$113,0))</f>
        <v/>
      </c>
      <c r="E37" s="9">
        <f>INDEX(Параметры!$AA$2:$AA$113,MATCH($A37,Параметры!$A$2:$A$113,0))</f>
        <v/>
      </c>
      <c r="F37" s="10">
        <f>INDEX(Параметры!$AC$2:$AC$113,MATCH($A37,Параметры!$A$2:$A$113,0))</f>
        <v/>
      </c>
      <c r="G37" s="9">
        <f>INDEX(Параметры!$AF$2:$AF$113,MATCH($A37,Параметры!$A$2:$A$113,0))</f>
        <v/>
      </c>
    </row>
    <row r="38">
      <c r="A38" s="2" t="inlineStr">
        <is>
          <t>Кукла-мотанка</t>
        </is>
      </c>
      <c r="B38" s="9">
        <f>INDEX(Параметры!$I$2:$I$113,MATCH($A38,Параметры!$A$2:$A$113,0))</f>
        <v/>
      </c>
      <c r="C38" s="9">
        <f>INDEX(Параметры!$M$2:$M$113,MATCH($A38,Параметры!$A$2:$A$113,0))</f>
        <v/>
      </c>
      <c r="D38" s="9">
        <f>INDEX(Параметры!$C$2:$C$113,MATCH($A38,Параметры!$A$2:$A$113,0))</f>
        <v/>
      </c>
      <c r="E38" s="9">
        <f>INDEX(Параметры!$AA$2:$AA$113,MATCH($A38,Параметры!$A$2:$A$113,0))</f>
        <v/>
      </c>
      <c r="F38" s="10">
        <f>INDEX(Параметры!$AC$2:$AC$113,MATCH($A38,Параметры!$A$2:$A$113,0))</f>
        <v/>
      </c>
      <c r="G38" s="9">
        <f>INDEX(Параметры!$AF$2:$AF$113,MATCH($A38,Параметры!$A$2:$A$113,0))</f>
        <v/>
      </c>
    </row>
    <row r="39">
      <c r="A39" s="2" t="inlineStr">
        <is>
          <t>Прядильщицы</t>
        </is>
      </c>
      <c r="B39" s="9">
        <f>INDEX(Параметры!$I$2:$I$113,MATCH($A39,Параметры!$A$2:$A$113,0))</f>
        <v/>
      </c>
      <c r="C39" s="9">
        <f>INDEX(Параметры!$M$2:$M$113,MATCH($A39,Параметры!$A$2:$A$113,0))</f>
        <v/>
      </c>
      <c r="D39" s="9">
        <f>INDEX(Параметры!$C$2:$C$113,MATCH($A39,Параметры!$A$2:$A$113,0))</f>
        <v/>
      </c>
      <c r="E39" s="9">
        <f>INDEX(Параметры!$AA$2:$AA$113,MATCH($A39,Параметры!$A$2:$A$113,0))</f>
        <v/>
      </c>
      <c r="F39" s="10">
        <f>INDEX(Параметры!$AC$2:$AC$113,MATCH($A39,Параметры!$A$2:$A$113,0))</f>
        <v/>
      </c>
      <c r="G39" s="9">
        <f>INDEX(Параметры!$AF$2:$AF$113,MATCH($A39,Параметры!$A$2:$A$113,0))</f>
        <v/>
      </c>
    </row>
    <row r="40">
      <c r="A40" s="2" t="inlineStr">
        <is>
          <t>Спутать</t>
        </is>
      </c>
      <c r="B40" s="9">
        <f>INDEX(Параметры!$I$2:$I$113,MATCH($A40,Параметры!$A$2:$A$113,0))</f>
        <v/>
      </c>
      <c r="C40" s="9">
        <f>INDEX(Параметры!$M$2:$M$113,MATCH($A40,Параметры!$A$2:$A$113,0))</f>
        <v/>
      </c>
      <c r="D40" s="9">
        <f>INDEX(Параметры!$C$2:$C$113,MATCH($A40,Параметры!$A$2:$A$113,0))</f>
        <v/>
      </c>
      <c r="E40" s="9">
        <f>INDEX(Параметры!$AA$2:$AA$113,MATCH($A40,Параметры!$A$2:$A$113,0))</f>
        <v/>
      </c>
      <c r="F40" s="10">
        <f>INDEX(Параметры!$AC$2:$AC$113,MATCH($A40,Параметры!$A$2:$A$113,0))</f>
        <v/>
      </c>
      <c r="G40" s="9">
        <f>INDEX(Параметры!$AF$2:$AF$113,MATCH($A40,Параметры!$A$2:$A$113,0))</f>
        <v/>
      </c>
    </row>
    <row r="41">
      <c r="A41" s="2" t="inlineStr">
        <is>
          <t>Чьё</t>
        </is>
      </c>
      <c r="B41" s="9">
        <f>INDEX(Параметры!$I$2:$I$113,MATCH($A41,Параметры!$A$2:$A$113,0))</f>
        <v/>
      </c>
      <c r="C41" s="9">
        <f>INDEX(Параметры!$M$2:$M$113,MATCH($A41,Параметры!$A$2:$A$113,0))</f>
        <v/>
      </c>
      <c r="D41" s="9">
        <f>INDEX(Параметры!$C$2:$C$113,MATCH($A41,Параметры!$A$2:$A$113,0))</f>
        <v/>
      </c>
      <c r="E41" s="9">
        <f>INDEX(Параметры!$AA$2:$AA$113,MATCH($A41,Параметры!$A$2:$A$113,0))</f>
        <v/>
      </c>
      <c r="F41" s="10">
        <f>INDEX(Параметры!$AC$2:$AC$113,MATCH($A41,Параметры!$A$2:$A$113,0))</f>
        <v/>
      </c>
      <c r="G41" s="9">
        <f>INDEX(Параметры!$AF$2:$AF$113,MATCH($A41,Параметры!$A$2:$A$113,0))</f>
        <v/>
      </c>
    </row>
    <row r="42">
      <c r="A42" s="2" t="inlineStr">
        <is>
          <t>Челнок</t>
        </is>
      </c>
      <c r="B42" s="9">
        <f>INDEX(Параметры!$I$2:$I$113,MATCH($A42,Параметры!$A$2:$A$113,0))</f>
        <v/>
      </c>
      <c r="C42" s="9">
        <f>INDEX(Параметры!$M$2:$M$113,MATCH($A42,Параметры!$A$2:$A$113,0))</f>
        <v/>
      </c>
      <c r="D42" s="9">
        <f>INDEX(Параметры!$C$2:$C$113,MATCH($A42,Параметры!$A$2:$A$113,0))</f>
        <v/>
      </c>
      <c r="E42" s="9">
        <f>INDEX(Параметры!$AA$2:$AA$113,MATCH($A42,Параметры!$A$2:$A$113,0))</f>
        <v/>
      </c>
      <c r="F42" s="10">
        <f>INDEX(Параметры!$AC$2:$AC$113,MATCH($A42,Параметры!$A$2:$A$113,0))</f>
        <v/>
      </c>
      <c r="G42" s="9">
        <f>INDEX(Параметры!$AF$2:$AF$113,MATCH($A42,Параметры!$A$2:$A$113,0))</f>
        <v/>
      </c>
    </row>
    <row r="43">
      <c r="A43" s="2" t="inlineStr">
        <is>
          <t>Нить Мокоши</t>
        </is>
      </c>
      <c r="B43" s="9">
        <f>INDEX(Параметры!$I$2:$I$113,MATCH($A43,Параметры!$A$2:$A$113,0))</f>
        <v/>
      </c>
      <c r="C43" s="9">
        <f>INDEX(Параметры!$M$2:$M$113,MATCH($A43,Параметры!$A$2:$A$113,0))</f>
        <v/>
      </c>
      <c r="D43" s="9">
        <f>INDEX(Параметры!$C$2:$C$113,MATCH($A43,Параметры!$A$2:$A$113,0))</f>
        <v/>
      </c>
      <c r="E43" s="9">
        <f>INDEX(Параметры!$AA$2:$AA$113,MATCH($A43,Параметры!$A$2:$A$113,0))</f>
        <v/>
      </c>
      <c r="F43" s="10">
        <f>INDEX(Параметры!$AC$2:$AC$113,MATCH($A43,Параметры!$A$2:$A$113,0))</f>
        <v/>
      </c>
      <c r="G43" s="9">
        <f>INDEX(Параметры!$AF$2:$AF$113,MATCH($A43,Параметры!$A$2:$A$113,0))</f>
        <v/>
      </c>
    </row>
    <row r="44">
      <c r="A44" s="2" t="inlineStr">
        <is>
          <t>Серп</t>
        </is>
      </c>
      <c r="B44" s="9">
        <f>INDEX(Параметры!$I$2:$I$113,MATCH($A44,Параметры!$A$2:$A$113,0))</f>
        <v/>
      </c>
      <c r="C44" s="9">
        <f>INDEX(Параметры!$M$2:$M$113,MATCH($A44,Параметры!$A$2:$A$113,0))</f>
        <v/>
      </c>
      <c r="D44" s="9">
        <f>INDEX(Параметры!$C$2:$C$113,MATCH($A44,Параметры!$A$2:$A$113,0))</f>
        <v/>
      </c>
      <c r="E44" s="9">
        <f>INDEX(Параметры!$AA$2:$AA$113,MATCH($A44,Параметры!$A$2:$A$113,0))</f>
        <v/>
      </c>
      <c r="F44" s="10">
        <f>INDEX(Параметры!$AC$2:$AC$113,MATCH($A44,Параметры!$A$2:$A$113,0))</f>
        <v/>
      </c>
      <c r="G44" s="9">
        <f>INDEX(Параметры!$AF$2:$AF$113,MATCH($A44,Параметры!$A$2:$A$113,0))</f>
        <v/>
      </c>
    </row>
    <row r="45">
      <c r="A45" s="2" t="inlineStr">
        <is>
          <t>Ярый замах</t>
        </is>
      </c>
      <c r="B45" s="9">
        <f>INDEX(Параметры!$I$2:$I$113,MATCH($A45,Параметры!$A$2:$A$113,0))</f>
        <v/>
      </c>
      <c r="C45" s="9">
        <f>INDEX(Параметры!$M$2:$M$113,MATCH($A45,Параметры!$A$2:$A$113,0))</f>
        <v/>
      </c>
      <c r="D45" s="9">
        <f>INDEX(Параметры!$C$2:$C$113,MATCH($A45,Параметры!$A$2:$A$113,0))</f>
        <v/>
      </c>
      <c r="E45" s="9">
        <f>INDEX(Параметры!$AA$2:$AA$113,MATCH($A45,Параметры!$A$2:$A$113,0))</f>
        <v/>
      </c>
      <c r="F45" s="10">
        <f>INDEX(Параметры!$AC$2:$AC$113,MATCH($A45,Параметры!$A$2:$A$113,0))</f>
        <v/>
      </c>
      <c r="G45" s="9">
        <f>INDEX(Параметры!$AF$2:$AF$113,MATCH($A45,Параметры!$A$2:$A$113,0))</f>
        <v/>
      </c>
    </row>
    <row r="46">
      <c r="A46" s="2" t="inlineStr">
        <is>
          <t>Искра жатвы</t>
        </is>
      </c>
      <c r="B46" s="9">
        <f>INDEX(Параметры!$I$2:$I$113,MATCH($A46,Параметры!$A$2:$A$113,0))</f>
        <v/>
      </c>
      <c r="C46" s="9">
        <f>INDEX(Параметры!$M$2:$M$113,MATCH($A46,Параметры!$A$2:$A$113,0))</f>
        <v/>
      </c>
      <c r="D46" s="9">
        <f>INDEX(Параметры!$C$2:$C$113,MATCH($A46,Параметры!$A$2:$A$113,0))</f>
        <v/>
      </c>
      <c r="E46" s="9">
        <f>INDEX(Параметры!$AA$2:$AA$113,MATCH($A46,Параметры!$A$2:$A$113,0))</f>
        <v/>
      </c>
      <c r="F46" s="10">
        <f>INDEX(Параметры!$AC$2:$AC$113,MATCH($A46,Параметры!$A$2:$A$113,0))</f>
        <v/>
      </c>
      <c r="G46" s="9">
        <f>INDEX(Параметры!$AF$2:$AF$113,MATCH($A46,Параметры!$A$2:$A$113,0))</f>
        <v/>
      </c>
    </row>
    <row r="47">
      <c r="A47" s="2" t="inlineStr">
        <is>
          <t>Колос-копьё</t>
        </is>
      </c>
      <c r="B47" s="9">
        <f>INDEX(Параметры!$I$2:$I$113,MATCH($A47,Параметры!$A$2:$A$113,0))</f>
        <v/>
      </c>
      <c r="C47" s="9">
        <f>INDEX(Параметры!$M$2:$M$113,MATCH($A47,Параметры!$A$2:$A$113,0))</f>
        <v/>
      </c>
      <c r="D47" s="9">
        <f>INDEX(Параметры!$C$2:$C$113,MATCH($A47,Параметры!$A$2:$A$113,0))</f>
        <v/>
      </c>
      <c r="E47" s="9">
        <f>INDEX(Параметры!$AA$2:$AA$113,MATCH($A47,Параметры!$A$2:$A$113,0))</f>
        <v/>
      </c>
      <c r="F47" s="10">
        <f>INDEX(Параметры!$AC$2:$AC$113,MATCH($A47,Параметры!$A$2:$A$113,0))</f>
        <v/>
      </c>
      <c r="G47" s="9">
        <f>INDEX(Параметры!$AF$2:$AF$113,MATCH($A47,Параметры!$A$2:$A$113,0))</f>
        <v/>
      </c>
    </row>
    <row r="48">
      <c r="A48" s="2" t="inlineStr">
        <is>
          <t>Второе дыхание</t>
        </is>
      </c>
      <c r="B48" s="9">
        <f>INDEX(Параметры!$I$2:$I$113,MATCH($A48,Параметры!$A$2:$A$113,0))</f>
        <v/>
      </c>
      <c r="C48" s="9">
        <f>INDEX(Параметры!$M$2:$M$113,MATCH($A48,Параметры!$A$2:$A$113,0))</f>
        <v/>
      </c>
      <c r="D48" s="9">
        <f>INDEX(Параметры!$C$2:$C$113,MATCH($A48,Параметры!$A$2:$A$113,0))</f>
        <v/>
      </c>
      <c r="E48" s="9">
        <f>INDEX(Параметры!$AA$2:$AA$113,MATCH($A48,Параметры!$A$2:$A$113,0))</f>
        <v/>
      </c>
      <c r="F48" s="10">
        <f>INDEX(Параметры!$AC$2:$AC$113,MATCH($A48,Параметры!$A$2:$A$113,0))</f>
        <v/>
      </c>
      <c r="G48" s="9">
        <f>INDEX(Параметры!$AF$2:$AF$113,MATCH($A48,Параметры!$A$2:$A$113,0))</f>
        <v/>
      </c>
    </row>
    <row r="49">
      <c r="A49" s="2" t="inlineStr">
        <is>
          <t>Горсть золы</t>
        </is>
      </c>
      <c r="B49" s="9">
        <f>INDEX(Параметры!$I$2:$I$113,MATCH($A49,Параметры!$A$2:$A$113,0))</f>
        <v/>
      </c>
      <c r="C49" s="9">
        <f>INDEX(Параметры!$M$2:$M$113,MATCH($A49,Параметры!$A$2:$A$113,0))</f>
        <v/>
      </c>
      <c r="D49" s="9">
        <f>INDEX(Параметры!$C$2:$C$113,MATCH($A49,Параметры!$A$2:$A$113,0))</f>
        <v/>
      </c>
      <c r="E49" s="9">
        <f>INDEX(Параметры!$AA$2:$AA$113,MATCH($A49,Параметры!$A$2:$A$113,0))</f>
        <v/>
      </c>
      <c r="F49" s="10">
        <f>INDEX(Параметры!$AC$2:$AC$113,MATCH($A49,Параметры!$A$2:$A$113,0))</f>
        <v/>
      </c>
      <c r="G49" s="9">
        <f>INDEX(Параметры!$AF$2:$AF$113,MATCH($A49,Параметры!$A$2:$A$113,0))</f>
        <v/>
      </c>
    </row>
    <row r="50">
      <c r="A50" s="2" t="inlineStr">
        <is>
          <t>Зерно в золе</t>
        </is>
      </c>
      <c r="B50" s="9">
        <f>INDEX(Параметры!$I$2:$I$113,MATCH($A50,Параметры!$A$2:$A$113,0))</f>
        <v/>
      </c>
      <c r="C50" s="9">
        <f>INDEX(Параметры!$M$2:$M$113,MATCH($A50,Параметры!$A$2:$A$113,0))</f>
        <v/>
      </c>
      <c r="D50" s="9">
        <f>INDEX(Параметры!$C$2:$C$113,MATCH($A50,Параметры!$A$2:$A$113,0))</f>
        <v/>
      </c>
      <c r="E50" s="9">
        <f>INDEX(Параметры!$AA$2:$AA$113,MATCH($A50,Параметры!$A$2:$A$113,0))</f>
        <v/>
      </c>
      <c r="F50" s="10">
        <f>INDEX(Параметры!$AC$2:$AC$113,MATCH($A50,Параметры!$A$2:$A$113,0))</f>
        <v/>
      </c>
      <c r="G50" s="9">
        <f>INDEX(Параметры!$AF$2:$AF$113,MATCH($A50,Параметры!$A$2:$A$113,0))</f>
        <v/>
      </c>
    </row>
    <row r="51">
      <c r="A51" s="2" t="inlineStr">
        <is>
          <t>Дождаться</t>
        </is>
      </c>
      <c r="B51" s="9">
        <f>INDEX(Параметры!$I$2:$I$113,MATCH($A51,Параметры!$A$2:$A$113,0))</f>
        <v/>
      </c>
      <c r="C51" s="9">
        <f>INDEX(Параметры!$M$2:$M$113,MATCH($A51,Параметры!$A$2:$A$113,0))</f>
        <v/>
      </c>
      <c r="D51" s="9">
        <f>INDEX(Параметры!$C$2:$C$113,MATCH($A51,Параметры!$A$2:$A$113,0))</f>
        <v/>
      </c>
      <c r="E51" s="9">
        <f>INDEX(Параметры!$AA$2:$AA$113,MATCH($A51,Параметры!$A$2:$A$113,0))</f>
        <v/>
      </c>
      <c r="F51" s="10">
        <f>INDEX(Параметры!$AC$2:$AC$113,MATCH($A51,Параметры!$A$2:$A$113,0))</f>
        <v/>
      </c>
      <c r="G51" s="9">
        <f>INDEX(Параметры!$AF$2:$AF$113,MATCH($A51,Параметры!$A$2:$A$113,0))</f>
        <v/>
      </c>
    </row>
    <row r="52">
      <c r="A52" s="2" t="inlineStr">
        <is>
          <t>Чучело</t>
        </is>
      </c>
      <c r="B52" s="9">
        <f>INDEX(Параметры!$I$2:$I$113,MATCH($A52,Параметры!$A$2:$A$113,0))</f>
        <v/>
      </c>
      <c r="C52" s="9">
        <f>INDEX(Параметры!$M$2:$M$113,MATCH($A52,Параметры!$A$2:$A$113,0))</f>
        <v/>
      </c>
      <c r="D52" s="9">
        <f>INDEX(Параметры!$C$2:$C$113,MATCH($A52,Параметры!$A$2:$A$113,0))</f>
        <v/>
      </c>
      <c r="E52" s="9">
        <f>INDEX(Параметры!$AA$2:$AA$113,MATCH($A52,Параметры!$A$2:$A$113,0))</f>
        <v/>
      </c>
      <c r="F52" s="10">
        <f>INDEX(Параметры!$AC$2:$AC$113,MATCH($A52,Параметры!$A$2:$A$113,0))</f>
        <v/>
      </c>
      <c r="G52" s="9">
        <f>INDEX(Параметры!$AF$2:$AF$113,MATCH($A52,Параметры!$A$2:$A$113,0))</f>
        <v/>
      </c>
    </row>
    <row r="53">
      <c r="A53" s="2" t="inlineStr">
        <is>
          <t>Ряженые</t>
        </is>
      </c>
      <c r="B53" s="9">
        <f>INDEX(Параметры!$I$2:$I$113,MATCH($A53,Параметры!$A$2:$A$113,0))</f>
        <v/>
      </c>
      <c r="C53" s="9">
        <f>INDEX(Параметры!$M$2:$M$113,MATCH($A53,Параметры!$A$2:$A$113,0))</f>
        <v/>
      </c>
      <c r="D53" s="9">
        <f>INDEX(Параметры!$C$2:$C$113,MATCH($A53,Параметры!$A$2:$A$113,0))</f>
        <v/>
      </c>
      <c r="E53" s="9">
        <f>INDEX(Параметры!$AA$2:$AA$113,MATCH($A53,Параметры!$A$2:$A$113,0))</f>
        <v/>
      </c>
      <c r="F53" s="10">
        <f>INDEX(Параметры!$AC$2:$AC$113,MATCH($A53,Параметры!$A$2:$A$113,0))</f>
        <v/>
      </c>
      <c r="G53" s="9">
        <f>INDEX(Параметры!$AF$2:$AF$113,MATCH($A53,Параметры!$A$2:$A$113,0))</f>
        <v/>
      </c>
    </row>
    <row r="54">
      <c r="A54" s="2" t="inlineStr">
        <is>
          <t>Плач</t>
        </is>
      </c>
      <c r="B54" s="9">
        <f>INDEX(Параметры!$I$2:$I$113,MATCH($A54,Параметры!$A$2:$A$113,0))</f>
        <v/>
      </c>
      <c r="C54" s="9">
        <f>INDEX(Параметры!$M$2:$M$113,MATCH($A54,Параметры!$A$2:$A$113,0))</f>
        <v/>
      </c>
      <c r="D54" s="9">
        <f>INDEX(Параметры!$C$2:$C$113,MATCH($A54,Параметры!$A$2:$A$113,0))</f>
        <v/>
      </c>
      <c r="E54" s="9">
        <f>INDEX(Параметры!$AA$2:$AA$113,MATCH($A54,Параметры!$A$2:$A$113,0))</f>
        <v/>
      </c>
      <c r="F54" s="10">
        <f>INDEX(Параметры!$AC$2:$AC$113,MATCH($A54,Параметры!$A$2:$A$113,0))</f>
        <v/>
      </c>
      <c r="G54" s="9">
        <f>INDEX(Параметры!$AF$2:$AF$113,MATCH($A54,Параметры!$A$2:$A$113,0))</f>
        <v/>
      </c>
    </row>
    <row r="55">
      <c r="A55" s="2" t="inlineStr">
        <is>
          <t>Купальский круг</t>
        </is>
      </c>
      <c r="B55" s="9">
        <f>INDEX(Параметры!$I$2:$I$113,MATCH($A55,Параметры!$A$2:$A$113,0))</f>
        <v/>
      </c>
      <c r="C55" s="9">
        <f>INDEX(Параметры!$M$2:$M$113,MATCH($A55,Параметры!$A$2:$A$113,0))</f>
        <v/>
      </c>
      <c r="D55" s="9">
        <f>INDEX(Параметры!$C$2:$C$113,MATCH($A55,Параметры!$A$2:$A$113,0))</f>
        <v/>
      </c>
      <c r="E55" s="9">
        <f>INDEX(Параметры!$AA$2:$AA$113,MATCH($A55,Параметры!$A$2:$A$113,0))</f>
        <v/>
      </c>
      <c r="F55" s="10">
        <f>INDEX(Параметры!$AC$2:$AC$113,MATCH($A55,Параметры!$A$2:$A$113,0))</f>
        <v/>
      </c>
      <c r="G55" s="9">
        <f>INDEX(Параметры!$AF$2:$AF$113,MATCH($A55,Параметры!$A$2:$A$113,0))</f>
        <v/>
      </c>
    </row>
    <row r="56">
      <c r="A56" s="2" t="inlineStr">
        <is>
          <t>Прыжок через костёр</t>
        </is>
      </c>
      <c r="B56" s="9">
        <f>INDEX(Параметры!$I$2:$I$113,MATCH($A56,Параметры!$A$2:$A$113,0))</f>
        <v/>
      </c>
      <c r="C56" s="9">
        <f>INDEX(Параметры!$M$2:$M$113,MATCH($A56,Параметры!$A$2:$A$113,0))</f>
        <v/>
      </c>
      <c r="D56" s="9">
        <f>INDEX(Параметры!$C$2:$C$113,MATCH($A56,Параметры!$A$2:$A$113,0))</f>
        <v/>
      </c>
      <c r="E56" s="9">
        <f>INDEX(Параметры!$AA$2:$AA$113,MATCH($A56,Параметры!$A$2:$A$113,0))</f>
        <v/>
      </c>
      <c r="F56" s="10">
        <f>INDEX(Параметры!$AC$2:$AC$113,MATCH($A56,Параметры!$A$2:$A$113,0))</f>
        <v/>
      </c>
      <c r="G56" s="9">
        <f>INDEX(Параметры!$AF$2:$AF$113,MATCH($A56,Параметры!$A$2:$A$113,0))</f>
        <v/>
      </c>
    </row>
    <row r="57">
      <c r="A57" s="2" t="inlineStr">
        <is>
          <t>Ярилин разбег</t>
        </is>
      </c>
      <c r="B57" s="9">
        <f>INDEX(Параметры!$I$2:$I$113,MATCH($A57,Параметры!$A$2:$A$113,0))</f>
        <v/>
      </c>
      <c r="C57" s="9">
        <f>INDEX(Параметры!$M$2:$M$113,MATCH($A57,Параметры!$A$2:$A$113,0))</f>
        <v/>
      </c>
      <c r="D57" s="9">
        <f>INDEX(Параметры!$C$2:$C$113,MATCH($A57,Параметры!$A$2:$A$113,0))</f>
        <v/>
      </c>
      <c r="E57" s="9">
        <f>INDEX(Параметры!$AA$2:$AA$113,MATCH($A57,Параметры!$A$2:$A$113,0))</f>
        <v/>
      </c>
      <c r="F57" s="10">
        <f>INDEX(Параметры!$AC$2:$AC$113,MATCH($A57,Параметры!$A$2:$A$113,0))</f>
        <v/>
      </c>
      <c r="G57" s="9">
        <f>INDEX(Параметры!$AF$2:$AF$113,MATCH($A57,Параметры!$A$2:$A$113,0))</f>
        <v/>
      </c>
    </row>
    <row r="58">
      <c r="A58" s="2" t="inlineStr">
        <is>
          <t>Цеп</t>
        </is>
      </c>
      <c r="B58" s="9">
        <f>INDEX(Параметры!$I$2:$I$113,MATCH($A58,Параметры!$A$2:$A$113,0))</f>
        <v/>
      </c>
      <c r="C58" s="9">
        <f>INDEX(Параметры!$M$2:$M$113,MATCH($A58,Параметры!$A$2:$A$113,0))</f>
        <v/>
      </c>
      <c r="D58" s="9">
        <f>INDEX(Параметры!$C$2:$C$113,MATCH($A58,Параметры!$A$2:$A$113,0))</f>
        <v/>
      </c>
      <c r="E58" s="9">
        <f>INDEX(Параметры!$AA$2:$AA$113,MATCH($A58,Параметры!$A$2:$A$113,0))</f>
        <v/>
      </c>
      <c r="F58" s="10">
        <f>INDEX(Параметры!$AC$2:$AC$113,MATCH($A58,Параметры!$A$2:$A$113,0))</f>
        <v/>
      </c>
      <c r="G58" s="9">
        <f>INDEX(Параметры!$AF$2:$AF$113,MATCH($A58,Параметры!$A$2:$A$113,0))</f>
        <v/>
      </c>
    </row>
    <row r="59">
      <c r="A59" s="2" t="inlineStr">
        <is>
          <t>Расплата</t>
        </is>
      </c>
      <c r="B59" s="9">
        <f>INDEX(Параметры!$I$2:$I$113,MATCH($A59,Параметры!$A$2:$A$113,0))</f>
        <v/>
      </c>
      <c r="C59" s="9">
        <f>INDEX(Параметры!$M$2:$M$113,MATCH($A59,Параметры!$A$2:$A$113,0))</f>
        <v/>
      </c>
      <c r="D59" s="9">
        <f>INDEX(Параметры!$C$2:$C$113,MATCH($A59,Параметры!$A$2:$A$113,0))</f>
        <v/>
      </c>
      <c r="E59" s="9">
        <f>INDEX(Параметры!$AA$2:$AA$113,MATCH($A59,Параметры!$A$2:$A$113,0))</f>
        <v/>
      </c>
      <c r="F59" s="10">
        <f>INDEX(Параметры!$AC$2:$AC$113,MATCH($A59,Параметры!$A$2:$A$113,0))</f>
        <v/>
      </c>
      <c r="G59" s="9">
        <f>INDEX(Параметры!$AF$2:$AF$113,MATCH($A59,Параметры!$A$2:$A$113,0))</f>
        <v/>
      </c>
    </row>
    <row r="60">
      <c r="A60" s="2" t="inlineStr">
        <is>
          <t>Чёрная метка</t>
        </is>
      </c>
      <c r="B60" s="9">
        <f>INDEX(Параметры!$I$2:$I$113,MATCH($A60,Параметры!$A$2:$A$113,0))</f>
        <v/>
      </c>
      <c r="C60" s="9">
        <f>INDEX(Параметры!$M$2:$M$113,MATCH($A60,Параметры!$A$2:$A$113,0))</f>
        <v/>
      </c>
      <c r="D60" s="9">
        <f>INDEX(Параметры!$C$2:$C$113,MATCH($A60,Параметры!$A$2:$A$113,0))</f>
        <v/>
      </c>
      <c r="E60" s="9">
        <f>INDEX(Параметры!$AA$2:$AA$113,MATCH($A60,Параметры!$A$2:$A$113,0))</f>
        <v/>
      </c>
      <c r="F60" s="10">
        <f>INDEX(Параметры!$AC$2:$AC$113,MATCH($A60,Параметры!$A$2:$A$113,0))</f>
        <v/>
      </c>
      <c r="G60" s="9">
        <f>INDEX(Параметры!$AF$2:$AF$113,MATCH($A60,Параметры!$A$2:$A$113,0))</f>
        <v/>
      </c>
    </row>
    <row r="61">
      <c r="A61" s="2" t="inlineStr">
        <is>
          <t>Приговор</t>
        </is>
      </c>
      <c r="B61" s="9">
        <f>INDEX(Параметры!$I$2:$I$113,MATCH($A61,Параметры!$A$2:$A$113,0))</f>
        <v/>
      </c>
      <c r="C61" s="9">
        <f>INDEX(Параметры!$M$2:$M$113,MATCH($A61,Параметры!$A$2:$A$113,0))</f>
        <v/>
      </c>
      <c r="D61" s="9">
        <f>INDEX(Параметры!$C$2:$C$113,MATCH($A61,Параметры!$A$2:$A$113,0))</f>
        <v/>
      </c>
      <c r="E61" s="9">
        <f>INDEX(Параметры!$AA$2:$AA$113,MATCH($A61,Параметры!$A$2:$A$113,0))</f>
        <v/>
      </c>
      <c r="F61" s="10">
        <f>INDEX(Параметры!$AC$2:$AC$113,MATCH($A61,Параметры!$A$2:$A$113,0))</f>
        <v/>
      </c>
      <c r="G61" s="9">
        <f>INDEX(Параметры!$AF$2:$AF$113,MATCH($A61,Параметры!$A$2:$A$113,0))</f>
        <v/>
      </c>
    </row>
    <row r="62">
      <c r="A62" s="2" t="inlineStr">
        <is>
          <t>Чёрная чаша</t>
        </is>
      </c>
      <c r="B62" s="9">
        <f>INDEX(Параметры!$I$2:$I$113,MATCH($A62,Параметры!$A$2:$A$113,0))</f>
        <v/>
      </c>
      <c r="C62" s="9">
        <f>INDEX(Параметры!$M$2:$M$113,MATCH($A62,Параметры!$A$2:$A$113,0))</f>
        <v/>
      </c>
      <c r="D62" s="9">
        <f>INDEX(Параметры!$C$2:$C$113,MATCH($A62,Параметры!$A$2:$A$113,0))</f>
        <v/>
      </c>
      <c r="E62" s="9">
        <f>INDEX(Параметры!$AA$2:$AA$113,MATCH($A62,Параметры!$A$2:$A$113,0))</f>
        <v/>
      </c>
      <c r="F62" s="10">
        <f>INDEX(Параметры!$AC$2:$AC$113,MATCH($A62,Параметры!$A$2:$A$113,0))</f>
        <v/>
      </c>
      <c r="G62" s="9">
        <f>INDEX(Параметры!$AF$2:$AF$113,MATCH($A62,Параметры!$A$2:$A$113,0))</f>
        <v/>
      </c>
    </row>
    <row r="63">
      <c r="A63" s="2" t="inlineStr">
        <is>
          <t>Мера</t>
        </is>
      </c>
      <c r="B63" s="9">
        <f>INDEX(Параметры!$I$2:$I$113,MATCH($A63,Параметры!$A$2:$A$113,0))</f>
        <v/>
      </c>
      <c r="C63" s="9">
        <f>INDEX(Параметры!$M$2:$M$113,MATCH($A63,Параметры!$A$2:$A$113,0))</f>
        <v/>
      </c>
      <c r="D63" s="9">
        <f>INDEX(Параметры!$C$2:$C$113,MATCH($A63,Параметры!$A$2:$A$113,0))</f>
        <v/>
      </c>
      <c r="E63" s="9">
        <f>INDEX(Параметры!$AA$2:$AA$113,MATCH($A63,Параметры!$A$2:$A$113,0))</f>
        <v/>
      </c>
      <c r="F63" s="10">
        <f>INDEX(Параметры!$AC$2:$AC$113,MATCH($A63,Параметры!$A$2:$A$113,0))</f>
        <v/>
      </c>
      <c r="G63" s="9">
        <f>INDEX(Параметры!$AF$2:$AF$113,MATCH($A63,Параметры!$A$2:$A$113,0))</f>
        <v/>
      </c>
    </row>
    <row r="64">
      <c r="A64" s="2" t="inlineStr">
        <is>
          <t>Довольно</t>
        </is>
      </c>
      <c r="B64" s="9">
        <f>INDEX(Параметры!$I$2:$I$113,MATCH($A64,Параметры!$A$2:$A$113,0))</f>
        <v/>
      </c>
      <c r="C64" s="9">
        <f>INDEX(Параметры!$M$2:$M$113,MATCH($A64,Параметры!$A$2:$A$113,0))</f>
        <v/>
      </c>
      <c r="D64" s="9">
        <f>INDEX(Параметры!$C$2:$C$113,MATCH($A64,Параметры!$A$2:$A$113,0))</f>
        <v/>
      </c>
      <c r="E64" s="9">
        <f>INDEX(Параметры!$AA$2:$AA$113,MATCH($A64,Параметры!$A$2:$A$113,0))</f>
        <v/>
      </c>
      <c r="F64" s="10">
        <f>INDEX(Параметры!$AC$2:$AC$113,MATCH($A64,Параметры!$A$2:$A$113,0))</f>
        <v/>
      </c>
      <c r="G64" s="9">
        <f>INDEX(Параметры!$AF$2:$AF$113,MATCH($A64,Параметры!$A$2:$A$113,0))</f>
        <v/>
      </c>
    </row>
    <row r="65">
      <c r="A65" s="2" t="inlineStr">
        <is>
          <t>Испить чашу</t>
        </is>
      </c>
      <c r="B65" s="9">
        <f>INDEX(Параметры!$I$2:$I$113,MATCH($A65,Параметры!$A$2:$A$113,0))</f>
        <v/>
      </c>
      <c r="C65" s="9">
        <f>INDEX(Параметры!$M$2:$M$113,MATCH($A65,Параметры!$A$2:$A$113,0))</f>
        <v/>
      </c>
      <c r="D65" s="9">
        <f>INDEX(Параметры!$C$2:$C$113,MATCH($A65,Параметры!$A$2:$A$113,0))</f>
        <v/>
      </c>
      <c r="E65" s="9">
        <f>INDEX(Параметры!$AA$2:$AA$113,MATCH($A65,Параметры!$A$2:$A$113,0))</f>
        <v/>
      </c>
      <c r="F65" s="10">
        <f>INDEX(Параметры!$AC$2:$AC$113,MATCH($A65,Параметры!$A$2:$A$113,0))</f>
        <v/>
      </c>
      <c r="G65" s="9">
        <f>INDEX(Параметры!$AF$2:$AF$113,MATCH($A65,Параметры!$A$2:$A$113,0))</f>
        <v/>
      </c>
    </row>
    <row r="66">
      <c r="A66" s="2" t="inlineStr">
        <is>
          <t>Тень-пристав</t>
        </is>
      </c>
      <c r="B66" s="9">
        <f>INDEX(Параметры!$I$2:$I$113,MATCH($A66,Параметры!$A$2:$A$113,0))</f>
        <v/>
      </c>
      <c r="C66" s="9">
        <f>INDEX(Параметры!$M$2:$M$113,MATCH($A66,Параметры!$A$2:$A$113,0))</f>
        <v/>
      </c>
      <c r="D66" s="9">
        <f>INDEX(Параметры!$C$2:$C$113,MATCH($A66,Параметры!$A$2:$A$113,0))</f>
        <v/>
      </c>
      <c r="E66" s="9">
        <f>INDEX(Параметры!$AA$2:$AA$113,MATCH($A66,Параметры!$A$2:$A$113,0))</f>
        <v/>
      </c>
      <c r="F66" s="10">
        <f>INDEX(Параметры!$AC$2:$AC$113,MATCH($A66,Параметры!$A$2:$A$113,0))</f>
        <v/>
      </c>
      <c r="G66" s="9">
        <f>INDEX(Параметры!$AF$2:$AF$113,MATCH($A66,Параметры!$A$2:$A$113,0))</f>
        <v/>
      </c>
    </row>
    <row r="67">
      <c r="A67" s="2" t="inlineStr">
        <is>
          <t>Должники</t>
        </is>
      </c>
      <c r="B67" s="9">
        <f>INDEX(Параметры!$I$2:$I$113,MATCH($A67,Параметры!$A$2:$A$113,0))</f>
        <v/>
      </c>
      <c r="C67" s="9">
        <f>INDEX(Параметры!$M$2:$M$113,MATCH($A67,Параметры!$A$2:$A$113,0))</f>
        <v/>
      </c>
      <c r="D67" s="9">
        <f>INDEX(Параметры!$C$2:$C$113,MATCH($A67,Параметры!$A$2:$A$113,0))</f>
        <v/>
      </c>
      <c r="E67" s="9">
        <f>INDEX(Параметры!$AA$2:$AA$113,MATCH($A67,Параметры!$A$2:$A$113,0))</f>
        <v/>
      </c>
      <c r="F67" s="10">
        <f>INDEX(Параметры!$AC$2:$AC$113,MATCH($A67,Параметры!$A$2:$A$113,0))</f>
        <v/>
      </c>
      <c r="G67" s="9">
        <f>INDEX(Параметры!$AF$2:$AF$113,MATCH($A67,Параметры!$A$2:$A$113,0))</f>
        <v/>
      </c>
    </row>
    <row r="68">
      <c r="A68" s="2" t="inlineStr">
        <is>
          <t>Вина</t>
        </is>
      </c>
      <c r="B68" s="9">
        <f>INDEX(Параметры!$I$2:$I$113,MATCH($A68,Параметры!$A$2:$A$113,0))</f>
        <v/>
      </c>
      <c r="C68" s="9">
        <f>INDEX(Параметры!$M$2:$M$113,MATCH($A68,Параметры!$A$2:$A$113,0))</f>
        <v/>
      </c>
      <c r="D68" s="9">
        <f>INDEX(Параметры!$C$2:$C$113,MATCH($A68,Параметры!$A$2:$A$113,0))</f>
        <v/>
      </c>
      <c r="E68" s="9">
        <f>INDEX(Параметры!$AA$2:$AA$113,MATCH($A68,Параметры!$A$2:$A$113,0))</f>
        <v/>
      </c>
      <c r="F68" s="10">
        <f>INDEX(Параметры!$AC$2:$AC$113,MATCH($A68,Параметры!$A$2:$A$113,0))</f>
        <v/>
      </c>
      <c r="G68" s="9">
        <f>INDEX(Параметры!$AF$2:$AF$113,MATCH($A68,Параметры!$A$2:$A$113,0))</f>
        <v/>
      </c>
    </row>
    <row r="69">
      <c r="A69" s="2" t="inlineStr">
        <is>
          <t>Суд над пиром</t>
        </is>
      </c>
      <c r="B69" s="9">
        <f>INDEX(Параметры!$I$2:$I$113,MATCH($A69,Параметры!$A$2:$A$113,0))</f>
        <v/>
      </c>
      <c r="C69" s="9">
        <f>INDEX(Параметры!$M$2:$M$113,MATCH($A69,Параметры!$A$2:$A$113,0))</f>
        <v/>
      </c>
      <c r="D69" s="9">
        <f>INDEX(Параметры!$C$2:$C$113,MATCH($A69,Параметры!$A$2:$A$113,0))</f>
        <v/>
      </c>
      <c r="E69" s="9">
        <f>INDEX(Параметры!$AA$2:$AA$113,MATCH($A69,Параметры!$A$2:$A$113,0))</f>
        <v/>
      </c>
      <c r="F69" s="10">
        <f>INDEX(Параметры!$AC$2:$AC$113,MATCH($A69,Параметры!$A$2:$A$113,0))</f>
        <v/>
      </c>
      <c r="G69" s="9">
        <f>INDEX(Параметры!$AF$2:$AF$113,MATCH($A69,Параметры!$A$2:$A$113,0))</f>
        <v/>
      </c>
    </row>
    <row r="70">
      <c r="A70" s="2" t="inlineStr">
        <is>
          <t>Шаг в тень</t>
        </is>
      </c>
      <c r="B70" s="9">
        <f>INDEX(Параметры!$I$2:$I$113,MATCH($A70,Параметры!$A$2:$A$113,0))</f>
        <v/>
      </c>
      <c r="C70" s="9">
        <f>INDEX(Параметры!$M$2:$M$113,MATCH($A70,Параметры!$A$2:$A$113,0))</f>
        <v/>
      </c>
      <c r="D70" s="9">
        <f>INDEX(Параметры!$C$2:$C$113,MATCH($A70,Параметры!$A$2:$A$113,0))</f>
        <v/>
      </c>
      <c r="E70" s="9">
        <f>INDEX(Параметры!$AA$2:$AA$113,MATCH($A70,Параметры!$A$2:$A$113,0))</f>
        <v/>
      </c>
      <c r="F70" s="10">
        <f>INDEX(Параметры!$AC$2:$AC$113,MATCH($A70,Параметры!$A$2:$A$113,0))</f>
        <v/>
      </c>
      <c r="G70" s="9">
        <f>INDEX(Параметры!$AF$2:$AF$113,MATCH($A70,Параметры!$A$2:$A$113,0))</f>
        <v/>
      </c>
    </row>
    <row r="71">
      <c r="A71" s="2" t="inlineStr">
        <is>
          <t>Ночь без меры</t>
        </is>
      </c>
      <c r="B71" s="9">
        <f>INDEX(Параметры!$I$2:$I$113,MATCH($A71,Параметры!$A$2:$A$113,0))</f>
        <v/>
      </c>
      <c r="C71" s="9">
        <f>INDEX(Параметры!$M$2:$M$113,MATCH($A71,Параметры!$A$2:$A$113,0))</f>
        <v/>
      </c>
      <c r="D71" s="9">
        <f>INDEX(Параметры!$C$2:$C$113,MATCH($A71,Параметры!$A$2:$A$113,0))</f>
        <v/>
      </c>
      <c r="E71" s="9">
        <f>INDEX(Параметры!$AA$2:$AA$113,MATCH($A71,Параметры!$A$2:$A$113,0))</f>
        <v/>
      </c>
      <c r="F71" s="10">
        <f>INDEX(Параметры!$AC$2:$AC$113,MATCH($A71,Параметры!$A$2:$A$113,0))</f>
        <v/>
      </c>
      <c r="G71" s="9">
        <f>INDEX(Параметры!$AF$2:$AF$113,MATCH($A71,Параметры!$A$2:$A$113,0))</f>
        <v/>
      </c>
    </row>
    <row r="72">
      <c r="A72" s="2" t="inlineStr">
        <is>
          <t>Жар полудня</t>
        </is>
      </c>
      <c r="B72" s="9">
        <f>INDEX(Параметры!$I$2:$I$113,MATCH($A72,Параметры!$A$2:$A$113,0))</f>
        <v/>
      </c>
      <c r="C72" s="9">
        <f>INDEX(Параметры!$M$2:$M$113,MATCH($A72,Параметры!$A$2:$A$113,0))</f>
        <v/>
      </c>
      <c r="D72" s="9">
        <f>INDEX(Параметры!$C$2:$C$113,MATCH($A72,Параметры!$A$2:$A$113,0))</f>
        <v/>
      </c>
      <c r="E72" s="9">
        <f>INDEX(Параметры!$AA$2:$AA$113,MATCH($A72,Параметры!$A$2:$A$113,0))</f>
        <v/>
      </c>
      <c r="F72" s="10">
        <f>INDEX(Параметры!$AC$2:$AC$113,MATCH($A72,Параметры!$A$2:$A$113,0))</f>
        <v/>
      </c>
      <c r="G72" s="9">
        <f>INDEX(Параметры!$AF$2:$AF$113,MATCH($A72,Параметры!$A$2:$A$113,0))</f>
        <v/>
      </c>
    </row>
    <row r="73">
      <c r="A73" s="2" t="inlineStr">
        <is>
          <t>Щит-солнце</t>
        </is>
      </c>
      <c r="B73" s="9">
        <f>INDEX(Параметры!$I$2:$I$113,MATCH($A73,Параметры!$A$2:$A$113,0))</f>
        <v/>
      </c>
      <c r="C73" s="9">
        <f>INDEX(Параметры!$M$2:$M$113,MATCH($A73,Параметры!$A$2:$A$113,0))</f>
        <v/>
      </c>
      <c r="D73" s="9">
        <f>INDEX(Параметры!$C$2:$C$113,MATCH($A73,Параметры!$A$2:$A$113,0))</f>
        <v/>
      </c>
      <c r="E73" s="9">
        <f>INDEX(Параметры!$AA$2:$AA$113,MATCH($A73,Параметры!$A$2:$A$113,0))</f>
        <v/>
      </c>
      <c r="F73" s="10">
        <f>INDEX(Параметры!$AC$2:$AC$113,MATCH($A73,Параметры!$A$2:$A$113,0))</f>
        <v/>
      </c>
      <c r="G73" s="9">
        <f>INDEX(Параметры!$AF$2:$AF$113,MATCH($A73,Параметры!$A$2:$A$113,0))</f>
        <v/>
      </c>
    </row>
    <row r="74">
      <c r="A74" s="2" t="inlineStr">
        <is>
          <t>Полуденный луч</t>
        </is>
      </c>
      <c r="B74" s="9">
        <f>INDEX(Параметры!$I$2:$I$113,MATCH($A74,Параметры!$A$2:$A$113,0))</f>
        <v/>
      </c>
      <c r="C74" s="9">
        <f>INDEX(Параметры!$M$2:$M$113,MATCH($A74,Параметры!$A$2:$A$113,0))</f>
        <v/>
      </c>
      <c r="D74" s="9">
        <f>INDEX(Параметры!$C$2:$C$113,MATCH($A74,Параметры!$A$2:$A$113,0))</f>
        <v/>
      </c>
      <c r="E74" s="9">
        <f>INDEX(Параметры!$AA$2:$AA$113,MATCH($A74,Параметры!$A$2:$A$113,0))</f>
        <v/>
      </c>
      <c r="F74" s="10">
        <f>INDEX(Параметры!$AC$2:$AC$113,MATCH($A74,Параметры!$A$2:$A$113,0))</f>
        <v/>
      </c>
      <c r="G74" s="9">
        <f>INDEX(Параметры!$AF$2:$AF$113,MATCH($A74,Параметры!$A$2:$A$113,0))</f>
        <v/>
      </c>
    </row>
    <row r="75">
      <c r="A75" s="2" t="inlineStr">
        <is>
          <t>Незакатный взор</t>
        </is>
      </c>
      <c r="B75" s="9">
        <f>INDEX(Параметры!$I$2:$I$113,MATCH($A75,Параметры!$A$2:$A$113,0))</f>
        <v/>
      </c>
      <c r="C75" s="9">
        <f>INDEX(Параметры!$M$2:$M$113,MATCH($A75,Параметры!$A$2:$A$113,0))</f>
        <v/>
      </c>
      <c r="D75" s="9">
        <f>INDEX(Параметры!$C$2:$C$113,MATCH($A75,Параметры!$A$2:$A$113,0))</f>
        <v/>
      </c>
      <c r="E75" s="9">
        <f>INDEX(Параметры!$AA$2:$AA$113,MATCH($A75,Параметры!$A$2:$A$113,0))</f>
        <v/>
      </c>
      <c r="F75" s="10">
        <f>INDEX(Параметры!$AC$2:$AC$113,MATCH($A75,Параметры!$A$2:$A$113,0))</f>
        <v/>
      </c>
      <c r="G75" s="9">
        <f>INDEX(Параметры!$AF$2:$AF$113,MATCH($A75,Параметры!$A$2:$A$113,0))</f>
        <v/>
      </c>
    </row>
    <row r="76">
      <c r="A76" s="2" t="inlineStr">
        <is>
          <t>Каменная баба</t>
        </is>
      </c>
      <c r="B76" s="9">
        <f>INDEX(Параметры!$I$2:$I$113,MATCH($A76,Параметры!$A$2:$A$113,0))</f>
        <v/>
      </c>
      <c r="C76" s="9">
        <f>INDEX(Параметры!$M$2:$M$113,MATCH($A76,Параметры!$A$2:$A$113,0))</f>
        <v/>
      </c>
      <c r="D76" s="9">
        <f>INDEX(Параметры!$C$2:$C$113,MATCH($A76,Параметры!$A$2:$A$113,0))</f>
        <v/>
      </c>
      <c r="E76" s="9">
        <f>INDEX(Параметры!$AA$2:$AA$113,MATCH($A76,Параметры!$A$2:$A$113,0))</f>
        <v/>
      </c>
      <c r="F76" s="10">
        <f>INDEX(Параметры!$AC$2:$AC$113,MATCH($A76,Параметры!$A$2:$A$113,0))</f>
        <v/>
      </c>
      <c r="G76" s="9">
        <f>INDEX(Параметры!$AF$2:$AF$113,MATCH($A76,Параметры!$A$2:$A$113,0))</f>
        <v/>
      </c>
    </row>
    <row r="77">
      <c r="A77" s="2" t="inlineStr">
        <is>
          <t>Длань дающего</t>
        </is>
      </c>
      <c r="B77" s="9">
        <f>INDEX(Параметры!$I$2:$I$113,MATCH($A77,Параметры!$A$2:$A$113,0))</f>
        <v/>
      </c>
      <c r="C77" s="9">
        <f>INDEX(Параметры!$M$2:$M$113,MATCH($A77,Параметры!$A$2:$A$113,0))</f>
        <v/>
      </c>
      <c r="D77" s="9">
        <f>INDEX(Параметры!$C$2:$C$113,MATCH($A77,Параметры!$A$2:$A$113,0))</f>
        <v/>
      </c>
      <c r="E77" s="9">
        <f>INDEX(Параметры!$AA$2:$AA$113,MATCH($A77,Параметры!$A$2:$A$113,0))</f>
        <v/>
      </c>
      <c r="F77" s="10">
        <f>INDEX(Параметры!$AC$2:$AC$113,MATCH($A77,Параметры!$A$2:$A$113,0))</f>
        <v/>
      </c>
      <c r="G77" s="9">
        <f>INDEX(Параметры!$AF$2:$AF$113,MATCH($A77,Параметры!$A$2:$A$113,0))</f>
        <v/>
      </c>
    </row>
    <row r="78">
      <c r="A78" s="2" t="inlineStr">
        <is>
          <t>Дар</t>
        </is>
      </c>
      <c r="B78" s="9">
        <f>INDEX(Параметры!$I$2:$I$113,MATCH($A78,Параметры!$A$2:$A$113,0))</f>
        <v/>
      </c>
      <c r="C78" s="9">
        <f>INDEX(Параметры!$M$2:$M$113,MATCH($A78,Параметры!$A$2:$A$113,0))</f>
        <v/>
      </c>
      <c r="D78" s="9">
        <f>INDEX(Параметры!$C$2:$C$113,MATCH($A78,Параметры!$A$2:$A$113,0))</f>
        <v/>
      </c>
      <c r="E78" s="9">
        <f>INDEX(Параметры!$AA$2:$AA$113,MATCH($A78,Параметры!$A$2:$A$113,0))</f>
        <v/>
      </c>
      <c r="F78" s="10">
        <f>INDEX(Параметры!$AC$2:$AC$113,MATCH($A78,Параметры!$A$2:$A$113,0))</f>
        <v/>
      </c>
      <c r="G78" s="9">
        <f>INDEX(Параметры!$AF$2:$AF$113,MATCH($A78,Параметры!$A$2:$A$113,0))</f>
        <v/>
      </c>
    </row>
    <row r="79">
      <c r="A79" s="2" t="inlineStr">
        <is>
          <t>Родословие</t>
        </is>
      </c>
      <c r="B79" s="9">
        <f>INDEX(Параметры!$I$2:$I$113,MATCH($A79,Параметры!$A$2:$A$113,0))</f>
        <v/>
      </c>
      <c r="C79" s="9">
        <f>INDEX(Параметры!$M$2:$M$113,MATCH($A79,Параметры!$A$2:$A$113,0))</f>
        <v/>
      </c>
      <c r="D79" s="9">
        <f>INDEX(Параметры!$C$2:$C$113,MATCH($A79,Параметры!$A$2:$A$113,0))</f>
        <v/>
      </c>
      <c r="E79" s="9">
        <f>INDEX(Параметры!$AA$2:$AA$113,MATCH($A79,Параметры!$A$2:$A$113,0))</f>
        <v/>
      </c>
      <c r="F79" s="10">
        <f>INDEX(Параметры!$AC$2:$AC$113,MATCH($A79,Параметры!$A$2:$A$113,0))</f>
        <v/>
      </c>
      <c r="G79" s="9">
        <f>INDEX(Параметры!$AF$2:$AF$113,MATCH($A79,Параметры!$A$2:$A$113,0))</f>
        <v/>
      </c>
    </row>
    <row r="80">
      <c r="A80" s="2" t="inlineStr">
        <is>
          <t>Солнечный конь</t>
        </is>
      </c>
      <c r="B80" s="9">
        <f>INDEX(Параметры!$I$2:$I$113,MATCH($A80,Параметры!$A$2:$A$113,0))</f>
        <v/>
      </c>
      <c r="C80" s="9">
        <f>INDEX(Параметры!$M$2:$M$113,MATCH($A80,Параметры!$A$2:$A$113,0))</f>
        <v/>
      </c>
      <c r="D80" s="9">
        <f>INDEX(Параметры!$C$2:$C$113,MATCH($A80,Параметры!$A$2:$A$113,0))</f>
        <v/>
      </c>
      <c r="E80" s="9">
        <f>INDEX(Параметры!$AA$2:$AA$113,MATCH($A80,Параметры!$A$2:$A$113,0))</f>
        <v/>
      </c>
      <c r="F80" s="10">
        <f>INDEX(Параметры!$AC$2:$AC$113,MATCH($A80,Параметры!$A$2:$A$113,0))</f>
        <v/>
      </c>
      <c r="G80" s="9">
        <f>INDEX(Параметры!$AF$2:$AF$113,MATCH($A80,Параметры!$A$2:$A$113,0))</f>
        <v/>
      </c>
    </row>
    <row r="81">
      <c r="A81" s="2" t="inlineStr">
        <is>
          <t>Внуки</t>
        </is>
      </c>
      <c r="B81" s="9">
        <f>INDEX(Параметры!$I$2:$I$113,MATCH($A81,Параметры!$A$2:$A$113,0))</f>
        <v/>
      </c>
      <c r="C81" s="9">
        <f>INDEX(Параметры!$M$2:$M$113,MATCH($A81,Параметры!$A$2:$A$113,0))</f>
        <v/>
      </c>
      <c r="D81" s="9">
        <f>INDEX(Параметры!$C$2:$C$113,MATCH($A81,Параметры!$A$2:$A$113,0))</f>
        <v/>
      </c>
      <c r="E81" s="9">
        <f>INDEX(Параметры!$AA$2:$AA$113,MATCH($A81,Параметры!$A$2:$A$113,0))</f>
        <v/>
      </c>
      <c r="F81" s="10">
        <f>INDEX(Параметры!$AC$2:$AC$113,MATCH($A81,Параметры!$A$2:$A$113,0))</f>
        <v/>
      </c>
      <c r="G81" s="9">
        <f>INDEX(Параметры!$AF$2:$AF$113,MATCH($A81,Параметры!$A$2:$A$113,0))</f>
        <v/>
      </c>
    </row>
    <row r="82">
      <c r="A82" s="2" t="inlineStr">
        <is>
          <t>Ослепление</t>
        </is>
      </c>
      <c r="B82" s="9">
        <f>INDEX(Параметры!$I$2:$I$113,MATCH($A82,Параметры!$A$2:$A$113,0))</f>
        <v/>
      </c>
      <c r="C82" s="9">
        <f>INDEX(Параметры!$M$2:$M$113,MATCH($A82,Параметры!$A$2:$A$113,0))</f>
        <v/>
      </c>
      <c r="D82" s="9">
        <f>INDEX(Параметры!$C$2:$C$113,MATCH($A82,Параметры!$A$2:$A$113,0))</f>
        <v/>
      </c>
      <c r="E82" s="9">
        <f>INDEX(Параметры!$AA$2:$AA$113,MATCH($A82,Параметры!$A$2:$A$113,0))</f>
        <v/>
      </c>
      <c r="F82" s="10">
        <f>INDEX(Параметры!$AC$2:$AC$113,MATCH($A82,Параметры!$A$2:$A$113,0))</f>
        <v/>
      </c>
      <c r="G82" s="9">
        <f>INDEX(Параметры!$AF$2:$AF$113,MATCH($A82,Параметры!$A$2:$A$113,0))</f>
        <v/>
      </c>
    </row>
    <row r="83">
      <c r="A83" s="2" t="inlineStr">
        <is>
          <t>Полдень</t>
        </is>
      </c>
      <c r="B83" s="9">
        <f>INDEX(Параметры!$I$2:$I$113,MATCH($A83,Параметры!$A$2:$A$113,0))</f>
        <v/>
      </c>
      <c r="C83" s="9">
        <f>INDEX(Параметры!$M$2:$M$113,MATCH($A83,Параметры!$A$2:$A$113,0))</f>
        <v/>
      </c>
      <c r="D83" s="9">
        <f>INDEX(Параметры!$C$2:$C$113,MATCH($A83,Параметры!$A$2:$A$113,0))</f>
        <v/>
      </c>
      <c r="E83" s="9">
        <f>INDEX(Параметры!$AA$2:$AA$113,MATCH($A83,Параметры!$A$2:$A$113,0))</f>
        <v/>
      </c>
      <c r="F83" s="10">
        <f>INDEX(Параметры!$AC$2:$AC$113,MATCH($A83,Параметры!$A$2:$A$113,0))</f>
        <v/>
      </c>
      <c r="G83" s="9">
        <f>INDEX(Параметры!$AF$2:$AF$113,MATCH($A83,Параметры!$A$2:$A$113,0))</f>
        <v/>
      </c>
    </row>
    <row r="84">
      <c r="A84" s="2" t="inlineStr">
        <is>
          <t>Колесница</t>
        </is>
      </c>
      <c r="B84" s="9">
        <f>INDEX(Параметры!$I$2:$I$113,MATCH($A84,Параметры!$A$2:$A$113,0))</f>
        <v/>
      </c>
      <c r="C84" s="9">
        <f>INDEX(Параметры!$M$2:$M$113,MATCH($A84,Параметры!$A$2:$A$113,0))</f>
        <v/>
      </c>
      <c r="D84" s="9">
        <f>INDEX(Параметры!$C$2:$C$113,MATCH($A84,Параметры!$A$2:$A$113,0))</f>
        <v/>
      </c>
      <c r="E84" s="9">
        <f>INDEX(Параметры!$AA$2:$AA$113,MATCH($A84,Параметры!$A$2:$A$113,0))</f>
        <v/>
      </c>
      <c r="F84" s="10">
        <f>INDEX(Параметры!$AC$2:$AC$113,MATCH($A84,Параметры!$A$2:$A$113,0))</f>
        <v/>
      </c>
      <c r="G84" s="9">
        <f>INDEX(Параметры!$AF$2:$AF$113,MATCH($A84,Параметры!$A$2:$A$113,0))</f>
        <v/>
      </c>
    </row>
    <row r="85">
      <c r="A85" s="2" t="inlineStr">
        <is>
          <t>Бег солнца</t>
        </is>
      </c>
      <c r="B85" s="9">
        <f>INDEX(Параметры!$I$2:$I$113,MATCH($A85,Параметры!$A$2:$A$113,0))</f>
        <v/>
      </c>
      <c r="C85" s="9">
        <f>INDEX(Параметры!$M$2:$M$113,MATCH($A85,Параметры!$A$2:$A$113,0))</f>
        <v/>
      </c>
      <c r="D85" s="9">
        <f>INDEX(Параметры!$C$2:$C$113,MATCH($A85,Параметры!$A$2:$A$113,0))</f>
        <v/>
      </c>
      <c r="E85" s="9">
        <f>INDEX(Параметры!$AA$2:$AA$113,MATCH($A85,Параметры!$A$2:$A$113,0))</f>
        <v/>
      </c>
      <c r="F85" s="10">
        <f>INDEX(Параметры!$AC$2:$AC$113,MATCH($A85,Параметры!$A$2:$A$113,0))</f>
        <v/>
      </c>
      <c r="G85" s="9">
        <f>INDEX(Параметры!$AF$2:$AF$113,MATCH($A85,Параметры!$A$2:$A$113,0))</f>
        <v/>
      </c>
    </row>
    <row r="86">
      <c r="A86" s="2" t="inlineStr">
        <is>
          <t>Вихрь</t>
        </is>
      </c>
      <c r="B86" s="9">
        <f>INDEX(Параметры!$I$2:$I$113,MATCH($A86,Параметры!$A$2:$A$113,0))</f>
        <v/>
      </c>
      <c r="C86" s="9">
        <f>INDEX(Параметры!$M$2:$M$113,MATCH($A86,Параметры!$A$2:$A$113,0))</f>
        <v/>
      </c>
      <c r="D86" s="9">
        <f>INDEX(Параметры!$C$2:$C$113,MATCH($A86,Параметры!$A$2:$A$113,0))</f>
        <v/>
      </c>
      <c r="E86" s="9">
        <f>INDEX(Параметры!$AA$2:$AA$113,MATCH($A86,Параметры!$A$2:$A$113,0))</f>
        <v/>
      </c>
      <c r="F86" s="10">
        <f>INDEX(Параметры!$AC$2:$AC$113,MATCH($A86,Параметры!$A$2:$A$113,0))</f>
        <v/>
      </c>
      <c r="G86" s="9">
        <f>INDEX(Параметры!$AF$2:$AF$113,MATCH($A86,Параметры!$A$2:$A$113,0))</f>
        <v/>
      </c>
    </row>
    <row r="87">
      <c r="A87" s="2" t="inlineStr">
        <is>
          <t>Порыв</t>
        </is>
      </c>
      <c r="B87" s="9">
        <f>INDEX(Параметры!$I$2:$I$113,MATCH($A87,Параметры!$A$2:$A$113,0))</f>
        <v/>
      </c>
      <c r="C87" s="9">
        <f>INDEX(Параметры!$M$2:$M$113,MATCH($A87,Параметры!$A$2:$A$113,0))</f>
        <v/>
      </c>
      <c r="D87" s="9">
        <f>INDEX(Параметры!$C$2:$C$113,MATCH($A87,Параметры!$A$2:$A$113,0))</f>
        <v/>
      </c>
      <c r="E87" s="9">
        <f>INDEX(Параметры!$AA$2:$AA$113,MATCH($A87,Параметры!$A$2:$A$113,0))</f>
        <v/>
      </c>
      <c r="F87" s="10">
        <f>INDEX(Параметры!$AC$2:$AC$113,MATCH($A87,Параметры!$A$2:$A$113,0))</f>
        <v/>
      </c>
      <c r="G87" s="9">
        <f>INDEX(Параметры!$AF$2:$AF$113,MATCH($A87,Параметры!$A$2:$A$113,0))</f>
        <v/>
      </c>
    </row>
    <row r="88">
      <c r="A88" s="2" t="inlineStr">
        <is>
          <t>Посвист</t>
        </is>
      </c>
      <c r="B88" s="9">
        <f>INDEX(Параметры!$I$2:$I$113,MATCH($A88,Параметры!$A$2:$A$113,0))</f>
        <v/>
      </c>
      <c r="C88" s="9">
        <f>INDEX(Параметры!$M$2:$M$113,MATCH($A88,Параметры!$A$2:$A$113,0))</f>
        <v/>
      </c>
      <c r="D88" s="9">
        <f>INDEX(Параметры!$C$2:$C$113,MATCH($A88,Параметры!$A$2:$A$113,0))</f>
        <v/>
      </c>
      <c r="E88" s="9">
        <f>INDEX(Параметры!$AA$2:$AA$113,MATCH($A88,Параметры!$A$2:$A$113,0))</f>
        <v/>
      </c>
      <c r="F88" s="10">
        <f>INDEX(Параметры!$AC$2:$AC$113,MATCH($A88,Параметры!$A$2:$A$113,0))</f>
        <v/>
      </c>
      <c r="G88" s="9">
        <f>INDEX(Параметры!$AF$2:$AF$113,MATCH($A88,Параметры!$A$2:$A$113,0))</f>
        <v/>
      </c>
    </row>
    <row r="89">
      <c r="A89" s="2" t="inlineStr">
        <is>
          <t>Буря-вестница</t>
        </is>
      </c>
      <c r="B89" s="9">
        <f>INDEX(Параметры!$I$2:$I$113,MATCH($A89,Параметры!$A$2:$A$113,0))</f>
        <v/>
      </c>
      <c r="C89" s="9">
        <f>INDEX(Параметры!$M$2:$M$113,MATCH($A89,Параметры!$A$2:$A$113,0))</f>
        <v/>
      </c>
      <c r="D89" s="9">
        <f>INDEX(Параметры!$C$2:$C$113,MATCH($A89,Параметры!$A$2:$A$113,0))</f>
        <v/>
      </c>
      <c r="E89" s="9">
        <f>INDEX(Параметры!$AA$2:$AA$113,MATCH($A89,Параметры!$A$2:$A$113,0))</f>
        <v/>
      </c>
      <c r="F89" s="10">
        <f>INDEX(Параметры!$AC$2:$AC$113,MATCH($A89,Параметры!$A$2:$A$113,0))</f>
        <v/>
      </c>
      <c r="G89" s="9">
        <f>INDEX(Параметры!$AF$2:$AF$113,MATCH($A89,Параметры!$A$2:$A$113,0))</f>
        <v/>
      </c>
    </row>
    <row r="90">
      <c r="A90" s="2" t="inlineStr">
        <is>
          <t>Отвод</t>
        </is>
      </c>
      <c r="B90" s="9">
        <f>INDEX(Параметры!$I$2:$I$113,MATCH($A90,Параметры!$A$2:$A$113,0))</f>
        <v/>
      </c>
      <c r="C90" s="9">
        <f>INDEX(Параметры!$M$2:$M$113,MATCH($A90,Параметры!$A$2:$A$113,0))</f>
        <v/>
      </c>
      <c r="D90" s="9">
        <f>INDEX(Параметры!$C$2:$C$113,MATCH($A90,Параметры!$A$2:$A$113,0))</f>
        <v/>
      </c>
      <c r="E90" s="9">
        <f>INDEX(Параметры!$AA$2:$AA$113,MATCH($A90,Параметры!$A$2:$A$113,0))</f>
        <v/>
      </c>
      <c r="F90" s="10">
        <f>INDEX(Параметры!$AC$2:$AC$113,MATCH($A90,Параметры!$A$2:$A$113,0))</f>
        <v/>
      </c>
      <c r="G90" s="9">
        <f>INDEX(Параметры!$AF$2:$AF$113,MATCH($A90,Параметры!$A$2:$A$113,0))</f>
        <v/>
      </c>
    </row>
    <row r="91">
      <c r="A91" s="2" t="inlineStr">
        <is>
          <t>Штиль</t>
        </is>
      </c>
      <c r="B91" s="9">
        <f>INDEX(Параметры!$I$2:$I$113,MATCH($A91,Параметры!$A$2:$A$113,0))</f>
        <v/>
      </c>
      <c r="C91" s="9">
        <f>INDEX(Параметры!$M$2:$M$113,MATCH($A91,Параметры!$A$2:$A$113,0))</f>
        <v/>
      </c>
      <c r="D91" s="9">
        <f>INDEX(Параметры!$C$2:$C$113,MATCH($A91,Параметры!$A$2:$A$113,0))</f>
        <v/>
      </c>
      <c r="E91" s="9">
        <f>INDEX(Параметры!$AA$2:$AA$113,MATCH($A91,Параметры!$A$2:$A$113,0))</f>
        <v/>
      </c>
      <c r="F91" s="10">
        <f>INDEX(Параметры!$AC$2:$AC$113,MATCH($A91,Параметры!$A$2:$A$113,0))</f>
        <v/>
      </c>
      <c r="G91" s="9">
        <f>INDEX(Параметры!$AF$2:$AF$113,MATCH($A91,Параметры!$A$2:$A$113,0))</f>
        <v/>
      </c>
    </row>
    <row r="92">
      <c r="A92" s="2" t="inlineStr">
        <is>
          <t>Попутный</t>
        </is>
      </c>
      <c r="B92" s="9">
        <f>INDEX(Параметры!$I$2:$I$113,MATCH($A92,Параметры!$A$2:$A$113,0))</f>
        <v/>
      </c>
      <c r="C92" s="9">
        <f>INDEX(Параметры!$M$2:$M$113,MATCH($A92,Параметры!$A$2:$A$113,0))</f>
        <v/>
      </c>
      <c r="D92" s="9">
        <f>INDEX(Параметры!$C$2:$C$113,MATCH($A92,Параметры!$A$2:$A$113,0))</f>
        <v/>
      </c>
      <c r="E92" s="9">
        <f>INDEX(Параметры!$AA$2:$AA$113,MATCH($A92,Параметры!$A$2:$A$113,0))</f>
        <v/>
      </c>
      <c r="F92" s="10">
        <f>INDEX(Параметры!$AC$2:$AC$113,MATCH($A92,Параметры!$A$2:$A$113,0))</f>
        <v/>
      </c>
      <c r="G92" s="9">
        <f>INDEX(Параметры!$AF$2:$AF$113,MATCH($A92,Параметры!$A$2:$A$113,0))</f>
        <v/>
      </c>
    </row>
    <row r="93">
      <c r="A93" s="2" t="inlineStr">
        <is>
          <t>Солёный ветер</t>
        </is>
      </c>
      <c r="B93" s="9">
        <f>INDEX(Параметры!$I$2:$I$113,MATCH($A93,Параметры!$A$2:$A$113,0))</f>
        <v/>
      </c>
      <c r="C93" s="9">
        <f>INDEX(Параметры!$M$2:$M$113,MATCH($A93,Параметры!$A$2:$A$113,0))</f>
        <v/>
      </c>
      <c r="D93" s="9">
        <f>INDEX(Параметры!$C$2:$C$113,MATCH($A93,Параметры!$A$2:$A$113,0))</f>
        <v/>
      </c>
      <c r="E93" s="9">
        <f>INDEX(Параметры!$AA$2:$AA$113,MATCH($A93,Параметры!$A$2:$A$113,0))</f>
        <v/>
      </c>
      <c r="F93" s="10">
        <f>INDEX(Параметры!$AC$2:$AC$113,MATCH($A93,Параметры!$A$2:$A$113,0))</f>
        <v/>
      </c>
      <c r="G93" s="9">
        <f>INDEX(Параметры!$AF$2:$AF$113,MATCH($A93,Параметры!$A$2:$A$113,0))</f>
        <v/>
      </c>
    </row>
    <row r="94">
      <c r="A94" s="2" t="inlineStr">
        <is>
          <t>Змей в парусе</t>
        </is>
      </c>
      <c r="B94" s="9">
        <f>INDEX(Параметры!$I$2:$I$113,MATCH($A94,Параметры!$A$2:$A$113,0))</f>
        <v/>
      </c>
      <c r="C94" s="9">
        <f>INDEX(Параметры!$M$2:$M$113,MATCH($A94,Параметры!$A$2:$A$113,0))</f>
        <v/>
      </c>
      <c r="D94" s="9">
        <f>INDEX(Параметры!$C$2:$C$113,MATCH($A94,Параметры!$A$2:$A$113,0))</f>
        <v/>
      </c>
      <c r="E94" s="9">
        <f>INDEX(Параметры!$AA$2:$AA$113,MATCH($A94,Параметры!$A$2:$A$113,0))</f>
        <v/>
      </c>
      <c r="F94" s="10">
        <f>INDEX(Параметры!$AC$2:$AC$113,MATCH($A94,Параметры!$A$2:$A$113,0))</f>
        <v/>
      </c>
      <c r="G94" s="9">
        <f>INDEX(Параметры!$AF$2:$AF$113,MATCH($A94,Параметры!$A$2:$A$113,0))</f>
        <v/>
      </c>
    </row>
    <row r="95">
      <c r="A95" s="2" t="inlineStr">
        <is>
          <t>Вестовые птицы</t>
        </is>
      </c>
      <c r="B95" s="9">
        <f>INDEX(Параметры!$I$2:$I$113,MATCH($A95,Параметры!$A$2:$A$113,0))</f>
        <v/>
      </c>
      <c r="C95" s="9">
        <f>INDEX(Параметры!$M$2:$M$113,MATCH($A95,Параметры!$A$2:$A$113,0))</f>
        <v/>
      </c>
      <c r="D95" s="9">
        <f>INDEX(Параметры!$C$2:$C$113,MATCH($A95,Параметры!$A$2:$A$113,0))</f>
        <v/>
      </c>
      <c r="E95" s="9">
        <f>INDEX(Параметры!$AA$2:$AA$113,MATCH($A95,Параметры!$A$2:$A$113,0))</f>
        <v/>
      </c>
      <c r="F95" s="10">
        <f>INDEX(Параметры!$AC$2:$AC$113,MATCH($A95,Параметры!$A$2:$A$113,0))</f>
        <v/>
      </c>
      <c r="G95" s="9">
        <f>INDEX(Параметры!$AF$2:$AF$113,MATCH($A95,Параметры!$A$2:$A$113,0))</f>
        <v/>
      </c>
    </row>
    <row r="96">
      <c r="A96" s="2" t="inlineStr">
        <is>
          <t>Примета</t>
        </is>
      </c>
      <c r="B96" s="9">
        <f>INDEX(Параметры!$I$2:$I$113,MATCH($A96,Параметры!$A$2:$A$113,0))</f>
        <v/>
      </c>
      <c r="C96" s="9">
        <f>INDEX(Параметры!$M$2:$M$113,MATCH($A96,Параметры!$A$2:$A$113,0))</f>
        <v/>
      </c>
      <c r="D96" s="9">
        <f>INDEX(Параметры!$C$2:$C$113,MATCH($A96,Параметры!$A$2:$A$113,0))</f>
        <v/>
      </c>
      <c r="E96" s="9">
        <f>INDEX(Параметры!$AA$2:$AA$113,MATCH($A96,Параметры!$A$2:$A$113,0))</f>
        <v/>
      </c>
      <c r="F96" s="10">
        <f>INDEX(Параметры!$AC$2:$AC$113,MATCH($A96,Параметры!$A$2:$A$113,0))</f>
        <v/>
      </c>
      <c r="G96" s="9">
        <f>INDEX(Параметры!$AF$2:$AF$113,MATCH($A96,Параметры!$A$2:$A$113,0))</f>
        <v/>
      </c>
    </row>
    <row r="97">
      <c r="A97" s="2" t="inlineStr">
        <is>
          <t>Куда</t>
        </is>
      </c>
      <c r="B97" s="9">
        <f>INDEX(Параметры!$I$2:$I$113,MATCH($A97,Параметры!$A$2:$A$113,0))</f>
        <v/>
      </c>
      <c r="C97" s="9">
        <f>INDEX(Параметры!$M$2:$M$113,MATCH($A97,Параметры!$A$2:$A$113,0))</f>
        <v/>
      </c>
      <c r="D97" s="9">
        <f>INDEX(Параметры!$C$2:$C$113,MATCH($A97,Параметры!$A$2:$A$113,0))</f>
        <v/>
      </c>
      <c r="E97" s="9">
        <f>INDEX(Параметры!$AA$2:$AA$113,MATCH($A97,Параметры!$A$2:$A$113,0))</f>
        <v/>
      </c>
      <c r="F97" s="10">
        <f>INDEX(Параметры!$AC$2:$AC$113,MATCH($A97,Параметры!$A$2:$A$113,0))</f>
        <v/>
      </c>
      <c r="G97" s="9">
        <f>INDEX(Параметры!$AF$2:$AF$113,MATCH($A97,Параметры!$A$2:$A$113,0))</f>
        <v/>
      </c>
    </row>
    <row r="98">
      <c r="A98" s="2" t="inlineStr">
        <is>
          <t>Вдоль ветра</t>
        </is>
      </c>
      <c r="B98" s="9">
        <f>INDEX(Параметры!$I$2:$I$113,MATCH($A98,Параметры!$A$2:$A$113,0))</f>
        <v/>
      </c>
      <c r="C98" s="9">
        <f>INDEX(Параметры!$M$2:$M$113,MATCH($A98,Параметры!$A$2:$A$113,0))</f>
        <v/>
      </c>
      <c r="D98" s="9">
        <f>INDEX(Параметры!$C$2:$C$113,MATCH($A98,Параметры!$A$2:$A$113,0))</f>
        <v/>
      </c>
      <c r="E98" s="9">
        <f>INDEX(Параметры!$AA$2:$AA$113,MATCH($A98,Параметры!$A$2:$A$113,0))</f>
        <v/>
      </c>
      <c r="F98" s="10">
        <f>INDEX(Параметры!$AC$2:$AC$113,MATCH($A98,Параметры!$A$2:$A$113,0))</f>
        <v/>
      </c>
      <c r="G98" s="9">
        <f>INDEX(Параметры!$AF$2:$AF$113,MATCH($A98,Параметры!$A$2:$A$113,0))</f>
        <v/>
      </c>
    </row>
    <row r="99">
      <c r="A99" s="2" t="inlineStr">
        <is>
          <t>Весь путь</t>
        </is>
      </c>
      <c r="B99" s="9">
        <f>INDEX(Параметры!$I$2:$I$113,MATCH($A99,Параметры!$A$2:$A$113,0))</f>
        <v/>
      </c>
      <c r="C99" s="9">
        <f>INDEX(Параметры!$M$2:$M$113,MATCH($A99,Параметры!$A$2:$A$113,0))</f>
        <v/>
      </c>
      <c r="D99" s="9">
        <f>INDEX(Параметры!$C$2:$C$113,MATCH($A99,Параметры!$A$2:$A$113,0))</f>
        <v/>
      </c>
      <c r="E99" s="9">
        <f>INDEX(Параметры!$AA$2:$AA$113,MATCH($A99,Параметры!$A$2:$A$113,0))</f>
        <v/>
      </c>
      <c r="F99" s="10">
        <f>INDEX(Параметры!$AC$2:$AC$113,MATCH($A99,Параметры!$A$2:$A$113,0))</f>
        <v/>
      </c>
      <c r="G99" s="9">
        <f>INDEX(Параметры!$AF$2:$AF$113,MATCH($A99,Параметры!$A$2:$A$113,0))</f>
        <v/>
      </c>
    </row>
    <row r="100">
      <c r="A100" s="2" t="inlineStr">
        <is>
          <t>Молот</t>
        </is>
      </c>
      <c r="B100" s="9">
        <f>INDEX(Параметры!$I$2:$I$113,MATCH($A100,Параметры!$A$2:$A$113,0))</f>
        <v/>
      </c>
      <c r="C100" s="9">
        <f>INDEX(Параметры!$M$2:$M$113,MATCH($A100,Параметры!$A$2:$A$113,0))</f>
        <v/>
      </c>
      <c r="D100" s="9">
        <f>INDEX(Параметры!$C$2:$C$113,MATCH($A100,Параметры!$A$2:$A$113,0))</f>
        <v/>
      </c>
      <c r="E100" s="9">
        <f>INDEX(Параметры!$AA$2:$AA$113,MATCH($A100,Параметры!$A$2:$A$113,0))</f>
        <v/>
      </c>
      <c r="F100" s="10">
        <f>INDEX(Параметры!$AC$2:$AC$113,MATCH($A100,Параметры!$A$2:$A$113,0))</f>
        <v/>
      </c>
      <c r="G100" s="9">
        <f>INDEX(Параметры!$AF$2:$AF$113,MATCH($A100,Параметры!$A$2:$A$113,0))</f>
        <v/>
      </c>
    </row>
    <row r="101">
      <c r="A101" s="2" t="inlineStr">
        <is>
          <t>Ковка</t>
        </is>
      </c>
      <c r="B101" s="9">
        <f>INDEX(Параметры!$I$2:$I$113,MATCH($A101,Параметры!$A$2:$A$113,0))</f>
        <v/>
      </c>
      <c r="C101" s="9">
        <f>INDEX(Параметры!$M$2:$M$113,MATCH($A101,Параметры!$A$2:$A$113,0))</f>
        <v/>
      </c>
      <c r="D101" s="9">
        <f>INDEX(Параметры!$C$2:$C$113,MATCH($A101,Параметры!$A$2:$A$113,0))</f>
        <v/>
      </c>
      <c r="E101" s="9">
        <f>INDEX(Параметры!$AA$2:$AA$113,MATCH($A101,Параметры!$A$2:$A$113,0))</f>
        <v/>
      </c>
      <c r="F101" s="10">
        <f>INDEX(Параметры!$AC$2:$AC$113,MATCH($A101,Параметры!$A$2:$A$113,0))</f>
        <v/>
      </c>
      <c r="G101" s="9">
        <f>INDEX(Параметры!$AF$2:$AF$113,MATCH($A101,Параметры!$A$2:$A$113,0))</f>
        <v/>
      </c>
    </row>
    <row r="102">
      <c r="A102" s="2" t="inlineStr">
        <is>
          <t>Окалина</t>
        </is>
      </c>
      <c r="B102" s="9">
        <f>INDEX(Параметры!$I$2:$I$113,MATCH($A102,Параметры!$A$2:$A$113,0))</f>
        <v/>
      </c>
      <c r="C102" s="9">
        <f>INDEX(Параметры!$M$2:$M$113,MATCH($A102,Параметры!$A$2:$A$113,0))</f>
        <v/>
      </c>
      <c r="D102" s="9">
        <f>INDEX(Параметры!$C$2:$C$113,MATCH($A102,Параметры!$A$2:$A$113,0))</f>
        <v/>
      </c>
      <c r="E102" s="9">
        <f>INDEX(Параметры!$AA$2:$AA$113,MATCH($A102,Параметры!$A$2:$A$113,0))</f>
        <v/>
      </c>
      <c r="F102" s="10">
        <f>INDEX(Параметры!$AC$2:$AC$113,MATCH($A102,Параметры!$A$2:$A$113,0))</f>
        <v/>
      </c>
      <c r="G102" s="9">
        <f>INDEX(Параметры!$AF$2:$AF$113,MATCH($A102,Параметры!$A$2:$A$113,0))</f>
        <v/>
      </c>
    </row>
    <row r="103">
      <c r="A103" s="2" t="inlineStr">
        <is>
          <t>Клеймо</t>
        </is>
      </c>
      <c r="B103" s="9">
        <f>INDEX(Параметры!$I$2:$I$113,MATCH($A103,Параметры!$A$2:$A$113,0))</f>
        <v/>
      </c>
      <c r="C103" s="9">
        <f>INDEX(Параметры!$M$2:$M$113,MATCH($A103,Параметры!$A$2:$A$113,0))</f>
        <v/>
      </c>
      <c r="D103" s="9">
        <f>INDEX(Параметры!$C$2:$C$113,MATCH($A103,Параметры!$A$2:$A$113,0))</f>
        <v/>
      </c>
      <c r="E103" s="9">
        <f>INDEX(Параметры!$AA$2:$AA$113,MATCH($A103,Параметры!$A$2:$A$113,0))</f>
        <v/>
      </c>
      <c r="F103" s="10">
        <f>INDEX(Параметры!$AC$2:$AC$113,MATCH($A103,Параметры!$A$2:$A$113,0))</f>
        <v/>
      </c>
      <c r="G103" s="9">
        <f>INDEX(Параметры!$AF$2:$AF$113,MATCH($A103,Параметры!$A$2:$A$113,0))</f>
        <v/>
      </c>
    </row>
    <row r="104">
      <c r="A104" s="2" t="inlineStr">
        <is>
          <t>Наковальня</t>
        </is>
      </c>
      <c r="B104" s="9">
        <f>INDEX(Параметры!$I$2:$I$113,MATCH($A104,Параметры!$A$2:$A$113,0))</f>
        <v/>
      </c>
      <c r="C104" s="9">
        <f>INDEX(Параметры!$M$2:$M$113,MATCH($A104,Параметры!$A$2:$A$113,0))</f>
        <v/>
      </c>
      <c r="D104" s="9">
        <f>INDEX(Параметры!$C$2:$C$113,MATCH($A104,Параметры!$A$2:$A$113,0))</f>
        <v/>
      </c>
      <c r="E104" s="9">
        <f>INDEX(Параметры!$AA$2:$AA$113,MATCH($A104,Параметры!$A$2:$A$113,0))</f>
        <v/>
      </c>
      <c r="F104" s="10">
        <f>INDEX(Параметры!$AC$2:$AC$113,MATCH($A104,Параметры!$A$2:$A$113,0))</f>
        <v/>
      </c>
      <c r="G104" s="9">
        <f>INDEX(Параметры!$AF$2:$AF$113,MATCH($A104,Параметры!$A$2:$A$113,0))</f>
        <v/>
      </c>
    </row>
    <row r="105">
      <c r="A105" s="2" t="inlineStr">
        <is>
          <t>Закалка</t>
        </is>
      </c>
      <c r="B105" s="9">
        <f>INDEX(Параметры!$I$2:$I$113,MATCH($A105,Параметры!$A$2:$A$113,0))</f>
        <v/>
      </c>
      <c r="C105" s="9">
        <f>INDEX(Параметры!$M$2:$M$113,MATCH($A105,Параметры!$A$2:$A$113,0))</f>
        <v/>
      </c>
      <c r="D105" s="9">
        <f>INDEX(Параметры!$C$2:$C$113,MATCH($A105,Параметры!$A$2:$A$113,0))</f>
        <v/>
      </c>
      <c r="E105" s="9">
        <f>INDEX(Параметры!$AA$2:$AA$113,MATCH($A105,Параметры!$A$2:$A$113,0))</f>
        <v/>
      </c>
      <c r="F105" s="10">
        <f>INDEX(Параметры!$AC$2:$AC$113,MATCH($A105,Параметры!$A$2:$A$113,0))</f>
        <v/>
      </c>
      <c r="G105" s="9">
        <f>INDEX(Параметры!$AF$2:$AF$113,MATCH($A105,Параметры!$A$2:$A$113,0))</f>
        <v/>
      </c>
    </row>
    <row r="106">
      <c r="A106" s="2" t="inlineStr">
        <is>
          <t>Горновое тепло</t>
        </is>
      </c>
      <c r="B106" s="9">
        <f>INDEX(Параметры!$I$2:$I$113,MATCH($A106,Параметры!$A$2:$A$113,0))</f>
        <v/>
      </c>
      <c r="C106" s="9">
        <f>INDEX(Параметры!$M$2:$M$113,MATCH($A106,Параметры!$A$2:$A$113,0))</f>
        <v/>
      </c>
      <c r="D106" s="9">
        <f>INDEX(Параметры!$C$2:$C$113,MATCH($A106,Параметры!$A$2:$A$113,0))</f>
        <v/>
      </c>
      <c r="E106" s="9">
        <f>INDEX(Параметры!$AA$2:$AA$113,MATCH($A106,Параметры!$A$2:$A$113,0))</f>
        <v/>
      </c>
      <c r="F106" s="10">
        <f>INDEX(Параметры!$AC$2:$AC$113,MATCH($A106,Параметры!$A$2:$A$113,0))</f>
        <v/>
      </c>
      <c r="G106" s="9">
        <f>INDEX(Параметры!$AF$2:$AF$113,MATCH($A106,Параметры!$A$2:$A$113,0))</f>
        <v/>
      </c>
    </row>
    <row r="107">
      <c r="A107" s="2" t="inlineStr">
        <is>
          <t>Мерка вдовы</t>
        </is>
      </c>
      <c r="B107" s="9">
        <f>INDEX(Параметры!$I$2:$I$113,MATCH($A107,Параметры!$A$2:$A$113,0))</f>
        <v/>
      </c>
      <c r="C107" s="9">
        <f>INDEX(Параметры!$M$2:$M$113,MATCH($A107,Параметры!$A$2:$A$113,0))</f>
        <v/>
      </c>
      <c r="D107" s="9">
        <f>INDEX(Параметры!$C$2:$C$113,MATCH($A107,Параметры!$A$2:$A$113,0))</f>
        <v/>
      </c>
      <c r="E107" s="9">
        <f>INDEX(Параметры!$AA$2:$AA$113,MATCH($A107,Параметры!$A$2:$A$113,0))</f>
        <v/>
      </c>
      <c r="F107" s="10">
        <f>INDEX(Параметры!$AC$2:$AC$113,MATCH($A107,Параметры!$A$2:$A$113,0))</f>
        <v/>
      </c>
      <c r="G107" s="9">
        <f>INDEX(Параметры!$AF$2:$AF$113,MATCH($A107,Параметры!$A$2:$A$113,0))</f>
        <v/>
      </c>
    </row>
    <row r="108">
      <c r="A108" s="2" t="inlineStr">
        <is>
          <t>Меха</t>
        </is>
      </c>
      <c r="B108" s="9">
        <f>INDEX(Параметры!$I$2:$I$113,MATCH($A108,Параметры!$A$2:$A$113,0))</f>
        <v/>
      </c>
      <c r="C108" s="9">
        <f>INDEX(Параметры!$M$2:$M$113,MATCH($A108,Параметры!$A$2:$A$113,0))</f>
        <v/>
      </c>
      <c r="D108" s="9">
        <f>INDEX(Параметры!$C$2:$C$113,MATCH($A108,Параметры!$A$2:$A$113,0))</f>
        <v/>
      </c>
      <c r="E108" s="9">
        <f>INDEX(Параметры!$AA$2:$AA$113,MATCH($A108,Параметры!$A$2:$A$113,0))</f>
        <v/>
      </c>
      <c r="F108" s="10">
        <f>INDEX(Параметры!$AC$2:$AC$113,MATCH($A108,Параметры!$A$2:$A$113,0))</f>
        <v/>
      </c>
      <c r="G108" s="9">
        <f>INDEX(Параметры!$AF$2:$AF$113,MATCH($A108,Параметры!$A$2:$A$113,0))</f>
        <v/>
      </c>
    </row>
    <row r="109">
      <c r="A109" s="2" t="inlineStr">
        <is>
          <t>Клещи с неба</t>
        </is>
      </c>
      <c r="B109" s="9">
        <f>INDEX(Параметры!$I$2:$I$113,MATCH($A109,Параметры!$A$2:$A$113,0))</f>
        <v/>
      </c>
      <c r="C109" s="9">
        <f>INDEX(Параметры!$M$2:$M$113,MATCH($A109,Параметры!$A$2:$A$113,0))</f>
        <v/>
      </c>
      <c r="D109" s="9">
        <f>INDEX(Параметры!$C$2:$C$113,MATCH($A109,Параметры!$A$2:$A$113,0))</f>
        <v/>
      </c>
      <c r="E109" s="9">
        <f>INDEX(Параметры!$AA$2:$AA$113,MATCH($A109,Параметры!$A$2:$A$113,0))</f>
        <v/>
      </c>
      <c r="F109" s="10">
        <f>INDEX(Параметры!$AC$2:$AC$113,MATCH($A109,Параметры!$A$2:$A$113,0))</f>
        <v/>
      </c>
      <c r="G109" s="9">
        <f>INDEX(Параметры!$AF$2:$AF$113,MATCH($A109,Параметры!$A$2:$A$113,0))</f>
        <v/>
      </c>
    </row>
    <row r="110">
      <c r="A110" s="2" t="inlineStr">
        <is>
          <t>Мерило</t>
        </is>
      </c>
      <c r="B110" s="9">
        <f>INDEX(Параметры!$I$2:$I$113,MATCH($A110,Параметры!$A$2:$A$113,0))</f>
        <v/>
      </c>
      <c r="C110" s="9">
        <f>INDEX(Параметры!$M$2:$M$113,MATCH($A110,Параметры!$A$2:$A$113,0))</f>
        <v/>
      </c>
      <c r="D110" s="9">
        <f>INDEX(Параметры!$C$2:$C$113,MATCH($A110,Параметры!$A$2:$A$113,0))</f>
        <v/>
      </c>
      <c r="E110" s="9">
        <f>INDEX(Параметры!$AA$2:$AA$113,MATCH($A110,Параметры!$A$2:$A$113,0))</f>
        <v/>
      </c>
      <c r="F110" s="10">
        <f>INDEX(Параметры!$AC$2:$AC$113,MATCH($A110,Параметры!$A$2:$A$113,0))</f>
        <v/>
      </c>
      <c r="G110" s="9">
        <f>INDEX(Параметры!$AF$2:$AF$113,MATCH($A110,Параметры!$A$2:$A$113,0))</f>
        <v/>
      </c>
    </row>
    <row r="111">
      <c r="A111" s="2" t="inlineStr">
        <is>
          <t>Шлак</t>
        </is>
      </c>
      <c r="B111" s="9">
        <f>INDEX(Параметры!$I$2:$I$113,MATCH($A111,Параметры!$A$2:$A$113,0))</f>
        <v/>
      </c>
      <c r="C111" s="9">
        <f>INDEX(Параметры!$M$2:$M$113,MATCH($A111,Параметры!$A$2:$A$113,0))</f>
        <v/>
      </c>
      <c r="D111" s="9">
        <f>INDEX(Параметры!$C$2:$C$113,MATCH($A111,Параметры!$A$2:$A$113,0))</f>
        <v/>
      </c>
      <c r="E111" s="9">
        <f>INDEX(Параметры!$AA$2:$AA$113,MATCH($A111,Параметры!$A$2:$A$113,0))</f>
        <v/>
      </c>
      <c r="F111" s="10">
        <f>INDEX(Параметры!$AC$2:$AC$113,MATCH($A111,Параметры!$A$2:$A$113,0))</f>
        <v/>
      </c>
      <c r="G111" s="9">
        <f>INDEX(Параметры!$AF$2:$AF$113,MATCH($A111,Параметры!$A$2:$A$113,0))</f>
        <v/>
      </c>
    </row>
    <row r="112">
      <c r="A112" s="2" t="inlineStr">
        <is>
          <t>Искровой шаг</t>
        </is>
      </c>
      <c r="B112" s="9">
        <f>INDEX(Параметры!$I$2:$I$113,MATCH($A112,Параметры!$A$2:$A$113,0))</f>
        <v/>
      </c>
      <c r="C112" s="9">
        <f>INDEX(Параметры!$M$2:$M$113,MATCH($A112,Параметры!$A$2:$A$113,0))</f>
        <v/>
      </c>
      <c r="D112" s="9">
        <f>INDEX(Параметры!$C$2:$C$113,MATCH($A112,Параметры!$A$2:$A$113,0))</f>
        <v/>
      </c>
      <c r="E112" s="9">
        <f>INDEX(Параметры!$AA$2:$AA$113,MATCH($A112,Параметры!$A$2:$A$113,0))</f>
        <v/>
      </c>
      <c r="F112" s="10">
        <f>INDEX(Параметры!$AC$2:$AC$113,MATCH($A112,Параметры!$A$2:$A$113,0))</f>
        <v/>
      </c>
      <c r="G112" s="9">
        <f>INDEX(Параметры!$AF$2:$AF$113,MATCH($A112,Параметры!$A$2:$A$113,0))</f>
        <v/>
      </c>
    </row>
    <row r="113">
      <c r="A113" s="2" t="inlineStr">
        <is>
          <t>Горн-скачок</t>
        </is>
      </c>
      <c r="B113" s="9">
        <f>INDEX(Параметры!$I$2:$I$113,MATCH($A113,Параметры!$A$2:$A$113,0))</f>
        <v/>
      </c>
      <c r="C113" s="9">
        <f>INDEX(Параметры!$M$2:$M$113,MATCH($A113,Параметры!$A$2:$A$113,0))</f>
        <v/>
      </c>
      <c r="D113" s="9">
        <f>INDEX(Параметры!$C$2:$C$113,MATCH($A113,Параметры!$A$2:$A$113,0))</f>
        <v/>
      </c>
      <c r="E113" s="9">
        <f>INDEX(Параметры!$AA$2:$AA$113,MATCH($A113,Параметры!$A$2:$A$113,0))</f>
        <v/>
      </c>
      <c r="F113" s="10">
        <f>INDEX(Параметры!$AC$2:$AC$113,MATCH($A113,Параметры!$A$2:$A$113,0))</f>
        <v/>
      </c>
      <c r="G113" s="9">
        <f>INDEX(Параметры!$AF$2:$AF$113,MATCH($A113,Параметры!$A$2:$A$113,0))</f>
        <v/>
      </c>
    </row>
    <row r="115">
      <c r="A115" s="11" t="inlineStr">
        <is>
          <t>Все значения тянутся из листа «Параметры».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9" customWidth="1" min="5" max="5"/>
    <col width="11" customWidth="1" min="6" max="6"/>
    <col width="8" customWidth="1" min="7" max="7"/>
    <col width="9" customWidth="1" min="8" max="8"/>
    <col width="9" customWidth="1" min="9" max="9"/>
    <col width="48" customWidth="1" min="10" max="10"/>
    <col width="18" customWidth="1" min="11" max="11"/>
    <col width="26" customWidth="1" min="12" max="12"/>
    <col width="11" customWidth="1" min="13" max="13"/>
    <col width="11" customWidth="1" min="14" max="14"/>
    <col width="11" customWidth="1" min="15" max="15"/>
    <col width="14" customWidth="1" min="16" max="16"/>
    <col width="34" customWidth="1" min="17" max="17"/>
    <col width="70" customWidth="1" min="18" max="18"/>
    <col width="12" customWidth="1" min="19" max="19"/>
  </cols>
  <sheetData>
    <row r="1">
      <c r="A1" s="4" t="inlineStr">
        <is>
          <t>Название</t>
        </is>
      </c>
      <c r="B1" s="4" t="inlineStr">
        <is>
          <t>Тип</t>
        </is>
      </c>
      <c r="C1" s="4" t="inlineStr">
        <is>
          <t>Биом</t>
        </is>
      </c>
      <c r="D1" s="4" t="inlineStr">
        <is>
          <t>Бог</t>
        </is>
      </c>
      <c r="E1" s="4" t="inlineStr">
        <is>
          <t>Стихия</t>
        </is>
      </c>
      <c r="F1" s="4" t="inlineStr">
        <is>
          <t>Вид</t>
        </is>
      </c>
      <c r="G1" s="4" t="inlineStr">
        <is>
          <t>More (×)</t>
        </is>
      </c>
      <c r="H1" s="4" t="inlineStr">
        <is>
          <t>Мод урона</t>
        </is>
      </c>
      <c r="I1" s="4" t="inlineStr">
        <is>
          <t>Мод Яри</t>
        </is>
      </c>
      <c r="J1" s="4" t="inlineStr">
        <is>
          <t>Эффект</t>
        </is>
      </c>
      <c r="K1" s="4" t="inlineStr">
        <is>
          <t>Совместимые метки</t>
        </is>
      </c>
      <c r="L1" s="4" t="inlineStr">
        <is>
          <t>Ограничение</t>
        </is>
      </c>
      <c r="M1" s="4" t="inlineStr">
        <is>
          <t>Эфф. множитель урона</t>
        </is>
      </c>
      <c r="N1" s="4" t="inlineStr">
        <is>
          <t>Эфф. множитель на 1 Ярь</t>
        </is>
      </c>
      <c r="O1" s="4" t="inlineStr">
        <is>
          <t>Совместимых активных</t>
        </is>
      </c>
      <c r="P1" s="4" t="inlineStr">
        <is>
          <t>Знак</t>
        </is>
      </c>
      <c r="Q1" s="4" t="inlineStr">
        <is>
          <t>Описание картинки</t>
        </is>
      </c>
      <c r="R1" s="4" t="inlineStr">
        <is>
          <t>Промт иконки</t>
        </is>
      </c>
      <c r="S1" s="4" t="inlineStr">
        <is>
          <t>Статус</t>
        </is>
      </c>
    </row>
    <row r="2">
      <c r="A2" s="2" t="inlineStr">
        <is>
          <t>Раскат</t>
        </is>
      </c>
      <c r="B2" s="2" t="inlineStr">
        <is>
          <t>Поддержка</t>
        </is>
      </c>
      <c r="C2" s="2" t="inlineStr">
        <is>
          <t>Выси</t>
        </is>
      </c>
      <c r="D2" s="2" t="inlineStr">
        <is>
          <t>Перун</t>
        </is>
      </c>
      <c r="E2" s="2" t="inlineStr">
        <is>
          <t>Гром</t>
        </is>
      </c>
      <c r="F2" s="2" t="inlineStr">
        <is>
          <t>механика</t>
        </is>
      </c>
      <c r="G2" s="12" t="n">
        <v>1</v>
      </c>
      <c r="H2" s="13" t="n">
        <v>-0.5</v>
      </c>
      <c r="I2" s="13" t="n">
        <v>0</v>
      </c>
      <c r="J2" s="2" t="inlineStr">
        <is>
          <t>Повтор навыка через 0,6 с с уроном 50%.</t>
        </is>
      </c>
      <c r="K2" s="2" t="inlineStr">
        <is>
          <t>удар|чары</t>
        </is>
      </c>
      <c r="L2" s="2" t="inlineStr">
        <is>
          <t>—</t>
        </is>
      </c>
      <c r="M2" s="14">
        <f>G2*(1+H2)</f>
        <v/>
      </c>
      <c r="N2" s="14">
        <f>IF(1+I2&gt;0,M2/(1+I2),"за здоровье")</f>
        <v/>
      </c>
      <c r="O2" s="2">
        <f>SUMPRODUCT(--ISNUMBER(SEARCH(Параметры!$G$2:$G$113,K2)))</f>
        <v/>
      </c>
      <c r="P2" s="2" t="inlineStr">
        <is>
          <t>площадь</t>
        </is>
      </c>
      <c r="Q2" s="2" t="inlineStr">
        <is>
          <t>Двойной отзвук удара.</t>
        </is>
      </c>
      <c r="R2" s="2">
        <f>"Flat game UI rune icon, 256x256, centered on a dark slate (#1E2230) square tile. An outer "&amp;INDEX(Руны!$C$27:$C$30,MATCH("поддержка",Руны!$A$27:$A$30,0))&amp;", thick carved "&amp;INDEX(Руны!$F$2:$F$10,MATCH(E2,Руны!$A$2:$A$10,0))&amp;" stroke"&amp;INDEX(Руны!$G$2:$G$10,MATCH(E2,Руны!$A$2:$A$10,0))&amp;" and a "&amp;INDEX(Руны!$I$2:$I$10,MATCH(E2,Руны!$A$2:$A$10,0))&amp;" around its outside. Inside: "&amp;INDEX(Руны!$C$14:$C$23,MATCH(P2,Руны!$A$14:$A$23,0))&amp;". Chiseled straight line ends, flat vector, no perspective, faint outer glow."</f>
        <v/>
      </c>
      <c r="S2" s="2" t="inlineStr">
        <is>
          <t>[Д] черновик</t>
        </is>
      </c>
    </row>
    <row r="3">
      <c r="A3" s="2" t="inlineStr">
        <is>
          <t>Заземление</t>
        </is>
      </c>
      <c r="B3" s="2" t="inlineStr">
        <is>
          <t>Поддержка</t>
        </is>
      </c>
      <c r="C3" s="2" t="inlineStr">
        <is>
          <t>Выси</t>
        </is>
      </c>
      <c r="D3" s="2" t="inlineStr">
        <is>
          <t>Перун</t>
        </is>
      </c>
      <c r="E3" s="2" t="inlineStr">
        <is>
          <t>Гром</t>
        </is>
      </c>
      <c r="F3" s="2" t="inlineStr">
        <is>
          <t>механика</t>
        </is>
      </c>
      <c r="G3" s="12" t="n">
        <v>1</v>
      </c>
      <c r="H3" s="13" t="n">
        <v>-0.3</v>
      </c>
      <c r="I3" s="13" t="n">
        <v>0</v>
      </c>
      <c r="J3" s="2" t="inlineStr">
        <is>
          <t>Каждый задетый враг возвращает 4 Ярь.</t>
        </is>
      </c>
      <c r="K3" s="2" t="inlineStr">
        <is>
          <t>удар|выстрел|чары</t>
        </is>
      </c>
      <c r="L3" s="2" t="inlineStr">
        <is>
          <t>≤20 Ярь за применение, ≤75% цены</t>
        </is>
      </c>
      <c r="M3" s="14">
        <f>G3*(1+H3)</f>
        <v/>
      </c>
      <c r="N3" s="14">
        <f>IF(1+I3&gt;0,M3/(1+I3),"за здоровье")</f>
        <v/>
      </c>
      <c r="O3" s="2">
        <f>SUMPRODUCT(--ISNUMBER(SEARCH(Параметры!$G$2:$G$113,K3)))</f>
        <v/>
      </c>
      <c r="P3" s="2" t="inlineStr">
        <is>
          <t>обездвиживание</t>
        </is>
      </c>
      <c r="Q3" s="2" t="inlineStr">
        <is>
          <t>Шест в земле, в него стекает свет.</t>
        </is>
      </c>
      <c r="R3" s="2">
        <f>"Flat game UI rune icon, 256x256, centered on a dark slate (#1E2230) square tile. An outer "&amp;INDEX(Руны!$C$27:$C$30,MATCH("поддержка",Руны!$A$27:$A$30,0))&amp;", thick carved "&amp;INDEX(Руны!$F$2:$F$10,MATCH(E3,Руны!$A$2:$A$10,0))&amp;" stroke"&amp;INDEX(Руны!$G$2:$G$10,MATCH(E3,Руны!$A$2:$A$10,0))&amp;" and a "&amp;INDEX(Руны!$I$2:$I$10,MATCH(E3,Руны!$A$2:$A$10,0))&amp;" around its outside. Inside: "&amp;INDEX(Руны!$C$14:$C$23,MATCH(P3,Руны!$A$14:$A$23,0))&amp;". Chiseled straight line ends, flat vector, no perspective, faint outer glow."</f>
        <v/>
      </c>
      <c r="S3" s="2" t="inlineStr">
        <is>
          <t>[Д] черновик</t>
        </is>
      </c>
    </row>
    <row r="4">
      <c r="A4" s="2" t="inlineStr">
        <is>
          <t>Сухая гроза</t>
        </is>
      </c>
      <c r="B4" s="2" t="inlineStr">
        <is>
          <t>Поддержка</t>
        </is>
      </c>
      <c r="C4" s="2" t="inlineStr">
        <is>
          <t>Выси</t>
        </is>
      </c>
      <c r="D4" s="2" t="inlineStr">
        <is>
          <t>Перун</t>
        </is>
      </c>
      <c r="E4" s="2" t="inlineStr">
        <is>
          <t>Гром</t>
        </is>
      </c>
      <c r="F4" s="2" t="inlineStr">
        <is>
          <t>множитель</t>
        </is>
      </c>
      <c r="G4" s="12" t="n">
        <v>1.25</v>
      </c>
      <c r="H4" s="13" t="n">
        <v>0</v>
      </c>
      <c r="I4" s="13" t="n">
        <v>0.2</v>
      </c>
      <c r="J4" s="2" t="inlineStr">
        <is>
          <t>Больше урона, дороже по Яри.</t>
        </is>
      </c>
      <c r="K4" s="2" t="inlineStr">
        <is>
          <t>удар|выстрел|чары</t>
        </is>
      </c>
      <c r="L4" s="2" t="inlineStr">
        <is>
          <t>—</t>
        </is>
      </c>
      <c r="M4" s="14">
        <f>G4*(1+H4)</f>
        <v/>
      </c>
      <c r="N4" s="14">
        <f>IF(1+I4&gt;0,M4/(1+I4),"за здоровье")</f>
        <v/>
      </c>
      <c r="O4" s="2">
        <f>SUMPRODUCT(--ISNUMBER(SEARCH(Параметры!$G$2:$G$113,K4)))</f>
        <v/>
      </c>
      <c r="P4" s="2" t="inlineStr">
        <is>
          <t>площадь</t>
        </is>
      </c>
      <c r="Q4" s="2" t="inlineStr">
        <is>
          <t>Молния без капли дождя.</t>
        </is>
      </c>
      <c r="R4" s="2">
        <f>"Flat game UI rune icon, 256x256, centered on a dark slate (#1E2230) square tile. An outer "&amp;INDEX(Руны!$C$27:$C$30,MATCH("поддержка",Руны!$A$27:$A$30,0))&amp;", thick carved "&amp;INDEX(Руны!$F$2:$F$10,MATCH(E4,Руны!$A$2:$A$10,0))&amp;" stroke"&amp;INDEX(Руны!$G$2:$G$10,MATCH(E4,Руны!$A$2:$A$10,0))&amp;" and a "&amp;INDEX(Руны!$I$2:$I$10,MATCH(E4,Руны!$A$2:$A$10,0))&amp;" around its outside. Inside: "&amp;INDEX(Руны!$C$14:$C$23,MATCH(P4,Руны!$A$14:$A$23,0))&amp;". Chiseled straight line ends, flat vector, no perspective, faint outer glow."</f>
        <v/>
      </c>
      <c r="S4" s="2" t="inlineStr">
        <is>
          <t>[Д] черновик</t>
        </is>
      </c>
    </row>
    <row r="5">
      <c r="A5" s="2" t="inlineStr">
        <is>
          <t>Зарница</t>
        </is>
      </c>
      <c r="B5" s="2" t="inlineStr">
        <is>
          <t>Поддержка</t>
        </is>
      </c>
      <c r="C5" s="2" t="inlineStr">
        <is>
          <t>Выси</t>
        </is>
      </c>
      <c r="D5" s="2" t="inlineStr">
        <is>
          <t>Перун</t>
        </is>
      </c>
      <c r="E5" s="2" t="inlineStr">
        <is>
          <t>Гром</t>
        </is>
      </c>
      <c r="F5" s="2" t="inlineStr">
        <is>
          <t>механика</t>
        </is>
      </c>
      <c r="G5" s="12" t="n">
        <v>1</v>
      </c>
      <c r="H5" s="13" t="n">
        <v>0</v>
      </c>
      <c r="I5" s="13" t="n">
        <v>0.1</v>
      </c>
      <c r="J5" s="2" t="inlineStr">
        <is>
          <t>Перед ударом показывает метку-предупреждение; урон по месту метки +40%.</t>
        </is>
      </c>
      <c r="K5" s="2" t="inlineStr">
        <is>
          <t>чары</t>
        </is>
      </c>
      <c r="L5" s="2" t="inlineStr">
        <is>
          <t>только навыки с задержкой</t>
        </is>
      </c>
      <c r="M5" s="14">
        <f>G5*(1+H5)</f>
        <v/>
      </c>
      <c r="N5" s="14">
        <f>IF(1+I5&gt;0,M5/(1+I5),"за здоровье")</f>
        <v/>
      </c>
      <c r="O5" s="2">
        <f>SUMPRODUCT(--ISNUMBER(SEARCH(Параметры!$G$2:$G$113,K5)))</f>
        <v/>
      </c>
      <c r="P5" s="2" t="inlineStr">
        <is>
          <t>обездвиживание</t>
        </is>
      </c>
      <c r="Q5" s="2" t="inlineStr">
        <is>
          <t>Далёкая вспышка на горизонте.</t>
        </is>
      </c>
      <c r="R5" s="2">
        <f>"Flat game UI rune icon, 256x256, centered on a dark slate (#1E2230) square tile. An outer "&amp;INDEX(Руны!$C$27:$C$30,MATCH("поддержка",Руны!$A$27:$A$30,0))&amp;", thick carved "&amp;INDEX(Руны!$F$2:$F$10,MATCH(E5,Руны!$A$2:$A$10,0))&amp;" stroke"&amp;INDEX(Руны!$G$2:$G$10,MATCH(E5,Руны!$A$2:$A$10,0))&amp;" and a "&amp;INDEX(Руны!$I$2:$I$10,MATCH(E5,Руны!$A$2:$A$10,0))&amp;" around its outside. Inside: "&amp;INDEX(Руны!$C$14:$C$23,MATCH(P5,Руны!$A$14:$A$23,0))&amp;". Chiseled straight line ends, flat vector, no perspective, faint outer glow."</f>
        <v/>
      </c>
      <c r="S5" s="2" t="inlineStr">
        <is>
          <t>[Д] черновик</t>
        </is>
      </c>
    </row>
    <row r="6">
      <c r="A6" s="2" t="inlineStr">
        <is>
          <t>Лишний прыжок</t>
        </is>
      </c>
      <c r="B6" s="2" t="inlineStr">
        <is>
          <t>Поддержка</t>
        </is>
      </c>
      <c r="C6" s="2" t="inlineStr">
        <is>
          <t>Выси</t>
        </is>
      </c>
      <c r="D6" s="2" t="inlineStr">
        <is>
          <t>Перун</t>
        </is>
      </c>
      <c r="E6" s="2" t="inlineStr">
        <is>
          <t>Гром</t>
        </is>
      </c>
      <c r="F6" s="2" t="inlineStr">
        <is>
          <t>механика</t>
        </is>
      </c>
      <c r="G6" s="12" t="n">
        <v>1</v>
      </c>
      <c r="H6" s="13" t="n">
        <v>-0.1</v>
      </c>
      <c r="I6" s="13" t="n">
        <v>0</v>
      </c>
      <c r="J6" s="2" t="inlineStr">
        <is>
          <t>+2 прыжка цепи.</t>
        </is>
      </c>
      <c r="K6" s="2" t="inlineStr">
        <is>
          <t>выстрел|чары</t>
        </is>
      </c>
      <c r="L6" s="2" t="inlineStr">
        <is>
          <t>только глагол «цепь»</t>
        </is>
      </c>
      <c r="M6" s="14">
        <f>G6*(1+H6)</f>
        <v/>
      </c>
      <c r="N6" s="14">
        <f>IF(1+I6&gt;0,M6/(1+I6),"за здоровье")</f>
        <v/>
      </c>
      <c r="O6" s="2">
        <f>SUMPRODUCT(--ISNUMBER(SEARCH(Параметры!$G$2:$G$113,K6)))</f>
        <v/>
      </c>
      <c r="P6" s="2" t="inlineStr">
        <is>
          <t>цепь</t>
        </is>
      </c>
      <c r="Q6" s="2" t="inlineStr">
        <is>
          <t>Молния прыгает ещё раз.</t>
        </is>
      </c>
      <c r="R6" s="2">
        <f>"Flat game UI rune icon, 256x256, centered on a dark slate (#1E2230) square tile. An outer "&amp;INDEX(Руны!$C$27:$C$30,MATCH("поддержка",Руны!$A$27:$A$30,0))&amp;", thick carved "&amp;INDEX(Руны!$F$2:$F$10,MATCH(E6,Руны!$A$2:$A$10,0))&amp;" stroke"&amp;INDEX(Руны!$G$2:$G$10,MATCH(E6,Руны!$A$2:$A$10,0))&amp;" and a "&amp;INDEX(Руны!$I$2:$I$10,MATCH(E6,Руны!$A$2:$A$10,0))&amp;" around its outside. Inside: "&amp;INDEX(Руны!$C$14:$C$23,MATCH(P6,Руны!$A$14:$A$23,0))&amp;". Chiseled straight line ends, flat vector, no perspective, faint outer glow."</f>
        <v/>
      </c>
      <c r="S6" s="2" t="inlineStr">
        <is>
          <t>[Д] черновик</t>
        </is>
      </c>
    </row>
    <row r="7">
      <c r="A7" s="2" t="inlineStr">
        <is>
          <t>Дозорный глаз</t>
        </is>
      </c>
      <c r="B7" s="2" t="inlineStr">
        <is>
          <t>Поддержка</t>
        </is>
      </c>
      <c r="C7" s="2" t="inlineStr">
        <is>
          <t>Выси</t>
        </is>
      </c>
      <c r="D7" s="2" t="inlineStr">
        <is>
          <t>Перун</t>
        </is>
      </c>
      <c r="E7" s="2" t="inlineStr">
        <is>
          <t>Гром</t>
        </is>
      </c>
      <c r="F7" s="2" t="inlineStr">
        <is>
          <t>механика</t>
        </is>
      </c>
      <c r="G7" s="12" t="n">
        <v>1</v>
      </c>
      <c r="H7" s="13" t="n">
        <v>0</v>
      </c>
      <c r="I7" s="13" t="n">
        <v>0</v>
      </c>
      <c r="J7" s="2" t="inlineStr">
        <is>
          <t>Призванный идол видит врагов за укрытием и бьёт первым.</t>
        </is>
      </c>
      <c r="K7" s="2" t="inlineStr">
        <is>
          <t>чары</t>
        </is>
      </c>
      <c r="L7" s="2" t="inlineStr">
        <is>
          <t>только призыв</t>
        </is>
      </c>
      <c r="M7" s="14">
        <f>G7*(1+H7)</f>
        <v/>
      </c>
      <c r="N7" s="14">
        <f>IF(1+I7&gt;0,M7/(1+I7),"за здоровье")</f>
        <v/>
      </c>
      <c r="O7" s="2">
        <f>SUMPRODUCT(--ISNUMBER(SEARCH(Параметры!$G$2:$G$113,K7)))</f>
        <v/>
      </c>
      <c r="P7" s="2" t="inlineStr">
        <is>
          <t>призыв</t>
        </is>
      </c>
      <c r="Q7" s="2" t="inlineStr">
        <is>
          <t>Глаз, вырезанный на столбе.</t>
        </is>
      </c>
      <c r="R7" s="2">
        <f>"Flat game UI rune icon, 256x256, centered on a dark slate (#1E2230) square tile. An outer "&amp;INDEX(Руны!$C$27:$C$30,MATCH("поддержка",Руны!$A$27:$A$30,0))&amp;", thick carved "&amp;INDEX(Руны!$F$2:$F$10,MATCH(E7,Руны!$A$2:$A$10,0))&amp;" stroke"&amp;INDEX(Руны!$G$2:$G$10,MATCH(E7,Руны!$A$2:$A$10,0))&amp;" and a "&amp;INDEX(Руны!$I$2:$I$10,MATCH(E7,Руны!$A$2:$A$10,0))&amp;" around its outside. Inside: "&amp;INDEX(Руны!$C$14:$C$23,MATCH(P7,Руны!$A$14:$A$23,0))&amp;". Chiseled straight line ends, flat vector, no perspective, faint outer glow."</f>
        <v/>
      </c>
      <c r="S7" s="2" t="inlineStr">
        <is>
          <t>[Д] черновик</t>
        </is>
      </c>
    </row>
    <row r="8">
      <c r="A8" s="2" t="inlineStr">
        <is>
          <t>Ртутный вес</t>
        </is>
      </c>
      <c r="B8" s="2" t="inlineStr">
        <is>
          <t>Поддержка</t>
        </is>
      </c>
      <c r="C8" s="2" t="inlineStr">
        <is>
          <t>Омут</t>
        </is>
      </c>
      <c r="D8" s="2" t="inlineStr">
        <is>
          <t>Велес</t>
        </is>
      </c>
      <c r="E8" s="2" t="inlineStr">
        <is>
          <t>Ртуть</t>
        </is>
      </c>
      <c r="F8" s="2" t="inlineStr">
        <is>
          <t>множитель</t>
        </is>
      </c>
      <c r="G8" s="12" t="n">
        <v>1.2</v>
      </c>
      <c r="H8" s="13" t="n">
        <v>0</v>
      </c>
      <c r="I8" s="13" t="n">
        <v>0</v>
      </c>
      <c r="J8" s="2" t="inlineStr">
        <is>
          <t>Снаряды тяжелее и медленнее на 20%, урон больше.</t>
        </is>
      </c>
      <c r="K8" s="2" t="inlineStr">
        <is>
          <t>выстрел|чары</t>
        </is>
      </c>
      <c r="L8" s="2" t="inlineStr">
        <is>
          <t>—</t>
        </is>
      </c>
      <c r="M8" s="14">
        <f>G8*(1+H8)</f>
        <v/>
      </c>
      <c r="N8" s="14">
        <f>IF(1+I8&gt;0,M8/(1+I8),"за здоровье")</f>
        <v/>
      </c>
      <c r="O8" s="2">
        <f>SUMPRODUCT(--ISNUMBER(SEARCH(Параметры!$G$2:$G$113,K8)))</f>
        <v/>
      </c>
      <c r="P8" s="2" t="inlineStr">
        <is>
          <t>снаряд</t>
        </is>
      </c>
      <c r="Q8" s="2" t="inlineStr">
        <is>
          <t>Капля, продавившая камень.</t>
        </is>
      </c>
      <c r="R8" s="2">
        <f>"Flat game UI rune icon, 256x256, centered on a dark slate (#1E2230) square tile. An outer "&amp;INDEX(Руны!$C$27:$C$30,MATCH("поддержка",Руны!$A$27:$A$30,0))&amp;", thick carved "&amp;INDEX(Руны!$F$2:$F$10,MATCH(E8,Руны!$A$2:$A$10,0))&amp;" stroke"&amp;INDEX(Руны!$G$2:$G$10,MATCH(E8,Руны!$A$2:$A$10,0))&amp;" and a "&amp;INDEX(Руны!$I$2:$I$10,MATCH(E8,Руны!$A$2:$A$10,0))&amp;" around its outside. Inside: "&amp;INDEX(Руны!$C$14:$C$23,MATCH(P8,Руны!$A$14:$A$23,0))&amp;". Chiseled straight line ends, flat vector, no perspective, faint outer glow."</f>
        <v/>
      </c>
      <c r="S8" s="2" t="inlineStr">
        <is>
          <t>[Д] черновик</t>
        </is>
      </c>
    </row>
    <row r="9">
      <c r="A9" s="2" t="inlineStr">
        <is>
          <t>Плата кровью</t>
        </is>
      </c>
      <c r="B9" s="2" t="inlineStr">
        <is>
          <t>Поддержка</t>
        </is>
      </c>
      <c r="C9" s="2" t="inlineStr">
        <is>
          <t>Омут</t>
        </is>
      </c>
      <c r="D9" s="2" t="inlineStr">
        <is>
          <t>Велес</t>
        </is>
      </c>
      <c r="E9" s="2" t="inlineStr">
        <is>
          <t>Ртуть</t>
        </is>
      </c>
      <c r="F9" s="2" t="inlineStr">
        <is>
          <t>механика</t>
        </is>
      </c>
      <c r="G9" s="12" t="n">
        <v>1</v>
      </c>
      <c r="H9" s="13" t="n">
        <v>0</v>
      </c>
      <c r="I9" s="13" t="n">
        <v>-1</v>
      </c>
      <c r="J9" s="2" t="inlineStr">
        <is>
          <t>Навык стоит здоровья вместо Яри (1 Ярь = 0,5% здоровья).</t>
        </is>
      </c>
      <c r="K9" s="2" t="inlineStr">
        <is>
          <t>удар|выстрел|чары</t>
        </is>
      </c>
      <c r="L9" s="2" t="inlineStr">
        <is>
          <t>не ниже 10% здоровья</t>
        </is>
      </c>
      <c r="M9" s="14">
        <f>G9*(1+H9)</f>
        <v/>
      </c>
      <c r="N9" s="14">
        <f>IF(1+I9&gt;0,M9/(1+I9),"за здоровье")</f>
        <v/>
      </c>
      <c r="O9" s="2">
        <f>SUMPRODUCT(--ISNUMBER(SEARCH(Параметры!$G$2:$G$113,K9)))</f>
        <v/>
      </c>
      <c r="P9" s="2" t="inlineStr">
        <is>
          <t>лечение</t>
        </is>
      </c>
      <c r="Q9" s="2" t="inlineStr">
        <is>
          <t>Капля крови падает в ртуть.</t>
        </is>
      </c>
      <c r="R9" s="2">
        <f>"Flat game UI rune icon, 256x256, centered on a dark slate (#1E2230) square tile. An outer "&amp;INDEX(Руны!$C$27:$C$30,MATCH("поддержка",Руны!$A$27:$A$30,0))&amp;", thick carved "&amp;INDEX(Руны!$F$2:$F$10,MATCH(E9,Руны!$A$2:$A$10,0))&amp;" stroke"&amp;INDEX(Руны!$G$2:$G$10,MATCH(E9,Руны!$A$2:$A$10,0))&amp;" and a "&amp;INDEX(Руны!$I$2:$I$10,MATCH(E9,Руны!$A$2:$A$10,0))&amp;" around its outside. Inside: "&amp;INDEX(Руны!$C$14:$C$23,MATCH(P9,Руны!$A$14:$A$23,0))&amp;". Chiseled straight line ends, flat vector, no perspective, faint outer glow."</f>
        <v/>
      </c>
      <c r="S9" s="2" t="inlineStr">
        <is>
          <t>[Д] черновик</t>
        </is>
      </c>
    </row>
    <row r="10">
      <c r="A10" s="2" t="inlineStr">
        <is>
          <t>Лишний тур</t>
        </is>
      </c>
      <c r="B10" s="2" t="inlineStr">
        <is>
          <t>Поддержка</t>
        </is>
      </c>
      <c r="C10" s="2" t="inlineStr">
        <is>
          <t>Омут</t>
        </is>
      </c>
      <c r="D10" s="2" t="inlineStr">
        <is>
          <t>Велес</t>
        </is>
      </c>
      <c r="E10" s="2" t="inlineStr">
        <is>
          <t>Ртуть</t>
        </is>
      </c>
      <c r="F10" s="2" t="inlineStr">
        <is>
          <t>механика</t>
        </is>
      </c>
      <c r="G10" s="12" t="n">
        <v>1</v>
      </c>
      <c r="H10" s="13" t="n">
        <v>-0.15</v>
      </c>
      <c r="I10" s="13" t="n">
        <v>0.15</v>
      </c>
      <c r="J10" s="2" t="inlineStr">
        <is>
          <t>+1 призванный зверь.</t>
        </is>
      </c>
      <c r="K10" s="2" t="inlineStr">
        <is>
          <t>чары</t>
        </is>
      </c>
      <c r="L10" s="2" t="inlineStr">
        <is>
          <t>только призыв</t>
        </is>
      </c>
      <c r="M10" s="14">
        <f>G10*(1+H10)</f>
        <v/>
      </c>
      <c r="N10" s="14">
        <f>IF(1+I10&gt;0,M10/(1+I10),"за здоровье")</f>
        <v/>
      </c>
      <c r="O10" s="2">
        <f>SUMPRODUCT(--ISNUMBER(SEARCH(Параметры!$G$2:$G$113,K10)))</f>
        <v/>
      </c>
      <c r="P10" s="2" t="inlineStr">
        <is>
          <t>призыв</t>
        </is>
      </c>
      <c r="Q10" s="2" t="inlineStr">
        <is>
          <t>Ещё одна пара рогов в стаде.</t>
        </is>
      </c>
      <c r="R10" s="2">
        <f>"Flat game UI rune icon, 256x256, centered on a dark slate (#1E2230) square tile. An outer "&amp;INDEX(Руны!$C$27:$C$30,MATCH("поддержка",Руны!$A$27:$A$30,0))&amp;", thick carved "&amp;INDEX(Руны!$F$2:$F$10,MATCH(E10,Руны!$A$2:$A$10,0))&amp;" stroke"&amp;INDEX(Руны!$G$2:$G$10,MATCH(E10,Руны!$A$2:$A$10,0))&amp;" and a "&amp;INDEX(Руны!$I$2:$I$10,MATCH(E10,Руны!$A$2:$A$10,0))&amp;" around its outside. Inside: "&amp;INDEX(Руны!$C$14:$C$23,MATCH(P10,Руны!$A$14:$A$23,0))&amp;". Chiseled straight line ends, flat vector, no perspective, faint outer glow."</f>
        <v/>
      </c>
      <c r="S10" s="2" t="inlineStr">
        <is>
          <t>[Д] черновик</t>
        </is>
      </c>
    </row>
    <row r="11">
      <c r="A11" s="2" t="inlineStr">
        <is>
          <t>Пастуший круг</t>
        </is>
      </c>
      <c r="B11" s="2" t="inlineStr">
        <is>
          <t>Поддержка</t>
        </is>
      </c>
      <c r="C11" s="2" t="inlineStr">
        <is>
          <t>Омут</t>
        </is>
      </c>
      <c r="D11" s="2" t="inlineStr">
        <is>
          <t>Велес</t>
        </is>
      </c>
      <c r="E11" s="2" t="inlineStr">
        <is>
          <t>Ртуть</t>
        </is>
      </c>
      <c r="F11" s="2" t="inlineStr">
        <is>
          <t>механика</t>
        </is>
      </c>
      <c r="G11" s="12" t="n">
        <v>1</v>
      </c>
      <c r="H11" s="13" t="n">
        <v>0</v>
      </c>
      <c r="I11" s="13" t="n">
        <v>0</v>
      </c>
      <c r="J11" s="2" t="inlineStr">
        <is>
          <t>Призванные держатся в 5 м от героя и прикрывают его.</t>
        </is>
      </c>
      <c r="K11" s="2" t="inlineStr">
        <is>
          <t>чары</t>
        </is>
      </c>
      <c r="L11" s="2" t="inlineStr">
        <is>
          <t>только призыв</t>
        </is>
      </c>
      <c r="M11" s="14">
        <f>G11*(1+H11)</f>
        <v/>
      </c>
      <c r="N11" s="14">
        <f>IF(1+I11&gt;0,M11/(1+I11),"за здоровье")</f>
        <v/>
      </c>
      <c r="O11" s="2">
        <f>SUMPRODUCT(--ISNUMBER(SEARCH(Параметры!$G$2:$G$113,K11)))</f>
        <v/>
      </c>
      <c r="P11" s="2" t="inlineStr">
        <is>
          <t>щит</t>
        </is>
      </c>
      <c r="Q11" s="2" t="inlineStr">
        <is>
          <t>Круг следов вокруг пастуха.</t>
        </is>
      </c>
      <c r="R11" s="2">
        <f>"Flat game UI rune icon, 256x256, centered on a dark slate (#1E2230) square tile. An outer "&amp;INDEX(Руны!$C$27:$C$30,MATCH("поддержка",Руны!$A$27:$A$30,0))&amp;", thick carved "&amp;INDEX(Руны!$F$2:$F$10,MATCH(E11,Руны!$A$2:$A$10,0))&amp;" stroke"&amp;INDEX(Руны!$G$2:$G$10,MATCH(E11,Руны!$A$2:$A$10,0))&amp;" and a "&amp;INDEX(Руны!$I$2:$I$10,MATCH(E11,Руны!$A$2:$A$10,0))&amp;" around its outside. Inside: "&amp;INDEX(Руны!$C$14:$C$23,MATCH(P11,Руны!$A$14:$A$23,0))&amp;". Chiseled straight line ends, flat vector, no perspective, faint outer glow."</f>
        <v/>
      </c>
      <c r="S11" s="2" t="inlineStr">
        <is>
          <t>[Д] черновик</t>
        </is>
      </c>
    </row>
    <row r="12">
      <c r="A12" s="2" t="inlineStr">
        <is>
          <t>Топь</t>
        </is>
      </c>
      <c r="B12" s="2" t="inlineStr">
        <is>
          <t>Поддержка</t>
        </is>
      </c>
      <c r="C12" s="2" t="inlineStr">
        <is>
          <t>Омут</t>
        </is>
      </c>
      <c r="D12" s="2" t="inlineStr">
        <is>
          <t>Велес</t>
        </is>
      </c>
      <c r="E12" s="2" t="inlineStr">
        <is>
          <t>Ртуть</t>
        </is>
      </c>
      <c r="F12" s="2" t="inlineStr">
        <is>
          <t>механика</t>
        </is>
      </c>
      <c r="G12" s="12" t="n">
        <v>1</v>
      </c>
      <c r="H12" s="13" t="n">
        <v>-0.1</v>
      </c>
      <c r="I12" s="13" t="n">
        <v>0</v>
      </c>
      <c r="J12" s="2" t="inlineStr">
        <is>
          <t>Площадь навыка оставляет вязкую ртуть: −20% скорости на 3 с.</t>
        </is>
      </c>
      <c r="K12" s="2" t="inlineStr">
        <is>
          <t>удар|чары</t>
        </is>
      </c>
      <c r="L12" s="2" t="inlineStr">
        <is>
          <t>только глагол «площадь»</t>
        </is>
      </c>
      <c r="M12" s="14">
        <f>G12*(1+H12)</f>
        <v/>
      </c>
      <c r="N12" s="14">
        <f>IF(1+I12&gt;0,M12/(1+I12),"за здоровье")</f>
        <v/>
      </c>
      <c r="O12" s="2">
        <f>SUMPRODUCT(--ISNUMBER(SEARCH(Параметры!$G$2:$G$113,K12)))</f>
        <v/>
      </c>
      <c r="P12" s="2" t="inlineStr">
        <is>
          <t>обездвиживание</t>
        </is>
      </c>
      <c r="Q12" s="2" t="inlineStr">
        <is>
          <t>Густая ртуть на земле.</t>
        </is>
      </c>
      <c r="R12" s="2">
        <f>"Flat game UI rune icon, 256x256, centered on a dark slate (#1E2230) square tile. An outer "&amp;INDEX(Руны!$C$27:$C$30,MATCH("поддержка",Руны!$A$27:$A$30,0))&amp;", thick carved "&amp;INDEX(Руны!$F$2:$F$10,MATCH(E12,Руны!$A$2:$A$10,0))&amp;" stroke"&amp;INDEX(Руны!$G$2:$G$10,MATCH(E12,Руны!$A$2:$A$10,0))&amp;" and a "&amp;INDEX(Руны!$I$2:$I$10,MATCH(E12,Руны!$A$2:$A$10,0))&amp;" around its outside. Inside: "&amp;INDEX(Руны!$C$14:$C$23,MATCH(P12,Руны!$A$14:$A$23,0))&amp;". Chiseled straight line ends, flat vector, no perspective, faint outer glow."</f>
        <v/>
      </c>
      <c r="S12" s="2" t="inlineStr">
        <is>
          <t>[Д] черновик</t>
        </is>
      </c>
    </row>
    <row r="13">
      <c r="A13" s="2" t="inlineStr">
        <is>
          <t>Отдача</t>
        </is>
      </c>
      <c r="B13" s="2" t="inlineStr">
        <is>
          <t>Поддержка</t>
        </is>
      </c>
      <c r="C13" s="2" t="inlineStr">
        <is>
          <t>Омут</t>
        </is>
      </c>
      <c r="D13" s="2" t="inlineStr">
        <is>
          <t>Велес</t>
        </is>
      </c>
      <c r="E13" s="2" t="inlineStr">
        <is>
          <t>Ртуть</t>
        </is>
      </c>
      <c r="F13" s="2" t="inlineStr">
        <is>
          <t>механика</t>
        </is>
      </c>
      <c r="G13" s="12" t="n">
        <v>1</v>
      </c>
      <c r="H13" s="13" t="n">
        <v>0</v>
      </c>
      <c r="I13" s="13" t="n">
        <v>0</v>
      </c>
      <c r="J13" s="2" t="inlineStr">
        <is>
          <t>Убийство навыком возвращает 25% цены.</t>
        </is>
      </c>
      <c r="K13" s="2" t="inlineStr">
        <is>
          <t>удар|выстрел|чары</t>
        </is>
      </c>
      <c r="L13" s="2" t="inlineStr">
        <is>
          <t>≤75% цены</t>
        </is>
      </c>
      <c r="M13" s="14">
        <f>G13*(1+H13)</f>
        <v/>
      </c>
      <c r="N13" s="14">
        <f>IF(1+I13&gt;0,M13/(1+I13),"за здоровье")</f>
        <v/>
      </c>
      <c r="O13" s="2">
        <f>SUMPRODUCT(--ISNUMBER(SEARCH(Параметры!$G$2:$G$113,K13)))</f>
        <v/>
      </c>
      <c r="P13" s="2" t="inlineStr">
        <is>
          <t>снаряд</t>
        </is>
      </c>
      <c r="Q13" s="2" t="inlineStr">
        <is>
          <t>Капля возвращается в ладонь.</t>
        </is>
      </c>
      <c r="R13" s="2">
        <f>"Flat game UI rune icon, 256x256, centered on a dark slate (#1E2230) square tile. An outer "&amp;INDEX(Руны!$C$27:$C$30,MATCH("поддержка",Руны!$A$27:$A$30,0))&amp;", thick carved "&amp;INDEX(Руны!$F$2:$F$10,MATCH(E13,Руны!$A$2:$A$10,0))&amp;" stroke"&amp;INDEX(Руны!$G$2:$G$10,MATCH(E13,Руны!$A$2:$A$10,0))&amp;" and a "&amp;INDEX(Руны!$I$2:$I$10,MATCH(E13,Руны!$A$2:$A$10,0))&amp;" around its outside. Inside: "&amp;INDEX(Руны!$C$14:$C$23,MATCH(P13,Руны!$A$14:$A$23,0))&amp;". Chiseled straight line ends, flat vector, no perspective, faint outer glow."</f>
        <v/>
      </c>
      <c r="S13" s="2" t="inlineStr">
        <is>
          <t>[Д] черновик</t>
        </is>
      </c>
    </row>
    <row r="14">
      <c r="A14" s="2" t="inlineStr">
        <is>
          <t>Связка</t>
        </is>
      </c>
      <c r="B14" s="2" t="inlineStr">
        <is>
          <t>Поддержка</t>
        </is>
      </c>
      <c r="C14" s="2" t="inlineStr">
        <is>
          <t>Хляби</t>
        </is>
      </c>
      <c r="D14" s="2" t="inlineStr">
        <is>
          <t>Мокошь</t>
        </is>
      </c>
      <c r="E14" s="2" t="inlineStr">
        <is>
          <t>Нити</t>
        </is>
      </c>
      <c r="F14" s="2" t="inlineStr">
        <is>
          <t>механика</t>
        </is>
      </c>
      <c r="G14" s="12" t="n">
        <v>1</v>
      </c>
      <c r="H14" s="13" t="n">
        <v>-0.1</v>
      </c>
      <c r="I14" s="13" t="n">
        <v>0</v>
      </c>
      <c r="J14" s="2" t="inlineStr">
        <is>
          <t>Задетые враги связаны нитью на 3 с.</t>
        </is>
      </c>
      <c r="K14" s="2" t="inlineStr">
        <is>
          <t>удар|выстрел|чары</t>
        </is>
      </c>
      <c r="L14" s="2" t="inlineStr">
        <is>
          <t>—</t>
        </is>
      </c>
      <c r="M14" s="14">
        <f>G14*(1+H14)</f>
        <v/>
      </c>
      <c r="N14" s="14">
        <f>IF(1+I14&gt;0,M14/(1+I14),"за здоровье")</f>
        <v/>
      </c>
      <c r="O14" s="2">
        <f>SUMPRODUCT(--ISNUMBER(SEARCH(Параметры!$G$2:$G$113,K14)))</f>
        <v/>
      </c>
      <c r="P14" s="2" t="inlineStr">
        <is>
          <t>цепь</t>
        </is>
      </c>
      <c r="Q14" s="2" t="inlineStr">
        <is>
          <t>Узелок на нити.</t>
        </is>
      </c>
      <c r="R14" s="2">
        <f>"Flat game UI rune icon, 256x256, centered on a dark slate (#1E2230) square tile. An outer "&amp;INDEX(Руны!$C$27:$C$30,MATCH("поддержка",Руны!$A$27:$A$30,0))&amp;", thick carved "&amp;INDEX(Руны!$F$2:$F$10,MATCH(E14,Руны!$A$2:$A$10,0))&amp;" stroke"&amp;INDEX(Руны!$G$2:$G$10,MATCH(E14,Руны!$A$2:$A$10,0))&amp;" and a "&amp;INDEX(Руны!$I$2:$I$10,MATCH(E14,Руны!$A$2:$A$10,0))&amp;" around its outside. Inside: "&amp;INDEX(Руны!$C$14:$C$23,MATCH(P14,Руны!$A$14:$A$23,0))&amp;". Chiseled straight line ends, flat vector, no perspective, faint outer glow."</f>
        <v/>
      </c>
      <c r="S14" s="2" t="inlineStr">
        <is>
          <t>[Д] черновик</t>
        </is>
      </c>
    </row>
    <row r="15">
      <c r="A15" s="2" t="inlineStr">
        <is>
          <t>Разделённая доля</t>
        </is>
      </c>
      <c r="B15" s="2" t="inlineStr">
        <is>
          <t>Поддержка</t>
        </is>
      </c>
      <c r="C15" s="2" t="inlineStr">
        <is>
          <t>Хляби</t>
        </is>
      </c>
      <c r="D15" s="2" t="inlineStr">
        <is>
          <t>Мокошь</t>
        </is>
      </c>
      <c r="E15" s="2" t="inlineStr">
        <is>
          <t>Нити</t>
        </is>
      </c>
      <c r="F15" s="2" t="inlineStr">
        <is>
          <t>механика</t>
        </is>
      </c>
      <c r="G15" s="12" t="n">
        <v>1</v>
      </c>
      <c r="H15" s="13" t="n">
        <v>0</v>
      </c>
      <c r="I15" s="13" t="n">
        <v>0</v>
      </c>
      <c r="J15" s="2" t="inlineStr">
        <is>
          <t>Урон по связанным делится поровну +30% сверху.</t>
        </is>
      </c>
      <c r="K15" s="2" t="inlineStr">
        <is>
          <t>удар|выстрел|чары</t>
        </is>
      </c>
      <c r="L15" s="2" t="inlineStr">
        <is>
          <t>нужна связь нитью</t>
        </is>
      </c>
      <c r="M15" s="14">
        <f>G15*(1+H15)</f>
        <v/>
      </c>
      <c r="N15" s="14">
        <f>IF(1+I15&gt;0,M15/(1+I15),"за здоровье")</f>
        <v/>
      </c>
      <c r="O15" s="2">
        <f>SUMPRODUCT(--ISNUMBER(SEARCH(Параметры!$G$2:$G$113,K15)))</f>
        <v/>
      </c>
      <c r="P15" s="2" t="inlineStr">
        <is>
          <t>цепь</t>
        </is>
      </c>
      <c r="Q15" s="2" t="inlineStr">
        <is>
          <t>Два конца одной нити.</t>
        </is>
      </c>
      <c r="R15" s="2">
        <f>"Flat game UI rune icon, 256x256, centered on a dark slate (#1E2230) square tile. An outer "&amp;INDEX(Руны!$C$27:$C$30,MATCH("поддержка",Руны!$A$27:$A$30,0))&amp;", thick carved "&amp;INDEX(Руны!$F$2:$F$10,MATCH(E15,Руны!$A$2:$A$10,0))&amp;" stroke"&amp;INDEX(Руны!$G$2:$G$10,MATCH(E15,Руны!$A$2:$A$10,0))&amp;" and a "&amp;INDEX(Руны!$I$2:$I$10,MATCH(E15,Руны!$A$2:$A$10,0))&amp;" around its outside. Inside: "&amp;INDEX(Руны!$C$14:$C$23,MATCH(P15,Руны!$A$14:$A$23,0))&amp;". Chiseled straight line ends, flat vector, no perspective, faint outer glow."</f>
        <v/>
      </c>
      <c r="S15" s="2" t="inlineStr">
        <is>
          <t>[Д] черновик</t>
        </is>
      </c>
    </row>
    <row r="16">
      <c r="A16" s="2" t="inlineStr">
        <is>
          <t>Тугой узел</t>
        </is>
      </c>
      <c r="B16" s="2" t="inlineStr">
        <is>
          <t>Поддержка</t>
        </is>
      </c>
      <c r="C16" s="2" t="inlineStr">
        <is>
          <t>Хляби</t>
        </is>
      </c>
      <c r="D16" s="2" t="inlineStr">
        <is>
          <t>Мокошь</t>
        </is>
      </c>
      <c r="E16" s="2" t="inlineStr">
        <is>
          <t>Нити</t>
        </is>
      </c>
      <c r="F16" s="2" t="inlineStr">
        <is>
          <t>множитель</t>
        </is>
      </c>
      <c r="G16" s="12" t="n">
        <v>1.2</v>
      </c>
      <c r="H16" s="13" t="n">
        <v>0</v>
      </c>
      <c r="I16" s="13" t="n">
        <v>0.15</v>
      </c>
      <c r="J16" s="2" t="inlineStr">
        <is>
          <t>Больше урона по обездвиженным.</t>
        </is>
      </c>
      <c r="K16" s="2" t="inlineStr">
        <is>
          <t>удар|чары</t>
        </is>
      </c>
      <c r="L16" s="2" t="inlineStr">
        <is>
          <t>—</t>
        </is>
      </c>
      <c r="M16" s="14">
        <f>G16*(1+H16)</f>
        <v/>
      </c>
      <c r="N16" s="14">
        <f>IF(1+I16&gt;0,M16/(1+I16),"за здоровье")</f>
        <v/>
      </c>
      <c r="O16" s="2">
        <f>SUMPRODUCT(--ISNUMBER(SEARCH(Параметры!$G$2:$G$113,K16)))</f>
        <v/>
      </c>
      <c r="P16" s="2" t="inlineStr">
        <is>
          <t>обездвиживание</t>
        </is>
      </c>
      <c r="Q16" s="2" t="inlineStr">
        <is>
          <t>Затянутый двойной узел.</t>
        </is>
      </c>
      <c r="R16" s="2">
        <f>"Flat game UI rune icon, 256x256, centered on a dark slate (#1E2230) square tile. An outer "&amp;INDEX(Руны!$C$27:$C$30,MATCH("поддержка",Руны!$A$27:$A$30,0))&amp;", thick carved "&amp;INDEX(Руны!$F$2:$F$10,MATCH(E16,Руны!$A$2:$A$10,0))&amp;" stroke"&amp;INDEX(Руны!$G$2:$G$10,MATCH(E16,Руны!$A$2:$A$10,0))&amp;" and a "&amp;INDEX(Руны!$I$2:$I$10,MATCH(E16,Руны!$A$2:$A$10,0))&amp;" around its outside. Inside: "&amp;INDEX(Руны!$C$14:$C$23,MATCH(P16,Руны!$A$14:$A$23,0))&amp;". Chiseled straight line ends, flat vector, no perspective, faint outer glow."</f>
        <v/>
      </c>
      <c r="S16" s="2" t="inlineStr">
        <is>
          <t>[Д] черновик</t>
        </is>
      </c>
    </row>
    <row r="17">
      <c r="A17" s="2" t="inlineStr">
        <is>
          <t>Долгая пряжа</t>
        </is>
      </c>
      <c r="B17" s="2" t="inlineStr">
        <is>
          <t>Поддержка</t>
        </is>
      </c>
      <c r="C17" s="2" t="inlineStr">
        <is>
          <t>Хляби</t>
        </is>
      </c>
      <c r="D17" s="2" t="inlineStr">
        <is>
          <t>Мокошь</t>
        </is>
      </c>
      <c r="E17" s="2" t="inlineStr">
        <is>
          <t>Нити</t>
        </is>
      </c>
      <c r="F17" s="2" t="inlineStr">
        <is>
          <t>механика</t>
        </is>
      </c>
      <c r="G17" s="12" t="n">
        <v>1</v>
      </c>
      <c r="H17" s="13" t="n">
        <v>0</v>
      </c>
      <c r="I17" s="13" t="n">
        <v>0.1</v>
      </c>
      <c r="J17" s="2" t="inlineStr">
        <is>
          <t>+50% длительности эффекта.</t>
        </is>
      </c>
      <c r="K17" s="2" t="inlineStr">
        <is>
          <t>чары</t>
        </is>
      </c>
      <c r="L17" s="2" t="inlineStr">
        <is>
          <t>—</t>
        </is>
      </c>
      <c r="M17" s="14">
        <f>G17*(1+H17)</f>
        <v/>
      </c>
      <c r="N17" s="14">
        <f>IF(1+I17&gt;0,M17/(1+I17),"за здоровье")</f>
        <v/>
      </c>
      <c r="O17" s="2">
        <f>SUMPRODUCT(--ISNUMBER(SEARCH(Параметры!$G$2:$G$113,K17)))</f>
        <v/>
      </c>
      <c r="P17" s="2" t="inlineStr">
        <is>
          <t>аура</t>
        </is>
      </c>
      <c r="Q17" s="2" t="inlineStr">
        <is>
          <t>Длинная нить на веретене.</t>
        </is>
      </c>
      <c r="R17" s="2">
        <f>"Flat game UI rune icon, 256x256, centered on a dark slate (#1E2230) square tile. An outer "&amp;INDEX(Руны!$C$27:$C$30,MATCH("поддержка",Руны!$A$27:$A$30,0))&amp;", thick carved "&amp;INDEX(Руны!$F$2:$F$10,MATCH(E17,Руны!$A$2:$A$10,0))&amp;" stroke"&amp;INDEX(Руны!$G$2:$G$10,MATCH(E17,Руны!$A$2:$A$10,0))&amp;" and a "&amp;INDEX(Руны!$I$2:$I$10,MATCH(E17,Руны!$A$2:$A$10,0))&amp;" around its outside. Inside: "&amp;INDEX(Руны!$C$14:$C$23,MATCH(P17,Руны!$A$14:$A$23,0))&amp;". Chiseled straight line ends, flat vector, no perspective, faint outer glow."</f>
        <v/>
      </c>
      <c r="S17" s="2" t="inlineStr">
        <is>
          <t>[Д] черновик</t>
        </is>
      </c>
    </row>
    <row r="18">
      <c r="A18" s="2" t="inlineStr">
        <is>
          <t>Обе стороны</t>
        </is>
      </c>
      <c r="B18" s="2" t="inlineStr">
        <is>
          <t>Поддержка</t>
        </is>
      </c>
      <c r="C18" s="2" t="inlineStr">
        <is>
          <t>Хляби</t>
        </is>
      </c>
      <c r="D18" s="2" t="inlineStr">
        <is>
          <t>Мокошь</t>
        </is>
      </c>
      <c r="E18" s="2" t="inlineStr">
        <is>
          <t>Нити</t>
        </is>
      </c>
      <c r="F18" s="2" t="inlineStr">
        <is>
          <t>механика</t>
        </is>
      </c>
      <c r="G18" s="12" t="n">
        <v>1</v>
      </c>
      <c r="H18" s="13" t="n">
        <v>-0.2</v>
      </c>
      <c r="I18" s="13" t="n">
        <v>0</v>
      </c>
      <c r="J18" s="2" t="inlineStr">
        <is>
          <t>Щит или лечение действуют и на связанного союзника.</t>
        </is>
      </c>
      <c r="K18" s="2" t="inlineStr">
        <is>
          <t>чары</t>
        </is>
      </c>
      <c r="L18" s="2" t="inlineStr">
        <is>
          <t>только щит/лечение</t>
        </is>
      </c>
      <c r="M18" s="14">
        <f>G18*(1+H18)</f>
        <v/>
      </c>
      <c r="N18" s="14">
        <f>IF(1+I18&gt;0,M18/(1+I18),"за здоровье")</f>
        <v/>
      </c>
      <c r="O18" s="2">
        <f>SUMPRODUCT(--ISNUMBER(SEARCH(Параметры!$G$2:$G$113,K18)))</f>
        <v/>
      </c>
      <c r="P18" s="2" t="inlineStr">
        <is>
          <t>щит</t>
        </is>
      </c>
      <c r="Q18" s="2" t="inlineStr">
        <is>
          <t>Шов, видный с обеих сторон ткани.</t>
        </is>
      </c>
      <c r="R18" s="2">
        <f>"Flat game UI rune icon, 256x256, centered on a dark slate (#1E2230) square tile. An outer "&amp;INDEX(Руны!$C$27:$C$30,MATCH("поддержка",Руны!$A$27:$A$30,0))&amp;", thick carved "&amp;INDEX(Руны!$F$2:$F$10,MATCH(E18,Руны!$A$2:$A$10,0))&amp;" stroke"&amp;INDEX(Руны!$G$2:$G$10,MATCH(E18,Руны!$A$2:$A$10,0))&amp;" and a "&amp;INDEX(Руны!$I$2:$I$10,MATCH(E18,Руны!$A$2:$A$10,0))&amp;" around its outside. Inside: "&amp;INDEX(Руны!$C$14:$C$23,MATCH(P18,Руны!$A$14:$A$23,0))&amp;". Chiseled straight line ends, flat vector, no perspective, faint outer glow."</f>
        <v/>
      </c>
      <c r="S18" s="2" t="inlineStr">
        <is>
          <t>[Д] черновик</t>
        </is>
      </c>
    </row>
    <row r="19">
      <c r="A19" s="2" t="inlineStr">
        <is>
          <t>Чужая кудель</t>
        </is>
      </c>
      <c r="B19" s="2" t="inlineStr">
        <is>
          <t>Поддержка</t>
        </is>
      </c>
      <c r="C19" s="2" t="inlineStr">
        <is>
          <t>Хляби</t>
        </is>
      </c>
      <c r="D19" s="2" t="inlineStr">
        <is>
          <t>Мокошь</t>
        </is>
      </c>
      <c r="E19" s="2" t="inlineStr">
        <is>
          <t>Нити</t>
        </is>
      </c>
      <c r="F19" s="2" t="inlineStr">
        <is>
          <t>механика</t>
        </is>
      </c>
      <c r="G19" s="12" t="n">
        <v>1</v>
      </c>
      <c r="H19" s="13" t="n">
        <v>0</v>
      </c>
      <c r="I19" s="13" t="n">
        <v>0</v>
      </c>
      <c r="J19" s="2" t="inlineStr">
        <is>
          <t>Кукла или призыв перенимает дебафф героя на себя.</t>
        </is>
      </c>
      <c r="K19" s="2" t="inlineStr">
        <is>
          <t>чары</t>
        </is>
      </c>
      <c r="L19" s="2" t="inlineStr">
        <is>
          <t>только призыв</t>
        </is>
      </c>
      <c r="M19" s="14">
        <f>G19*(1+H19)</f>
        <v/>
      </c>
      <c r="N19" s="14">
        <f>IF(1+I19&gt;0,M19/(1+I19),"за здоровье")</f>
        <v/>
      </c>
      <c r="O19" s="2">
        <f>SUMPRODUCT(--ISNUMBER(SEARCH(Параметры!$G$2:$G$113,K19)))</f>
        <v/>
      </c>
      <c r="P19" s="2" t="inlineStr">
        <is>
          <t>призыв</t>
        </is>
      </c>
      <c r="Q19" s="2" t="inlineStr">
        <is>
          <t>Клочок кудели на кукле.</t>
        </is>
      </c>
      <c r="R19" s="2">
        <f>"Flat game UI rune icon, 256x256, centered on a dark slate (#1E2230) square tile. An outer "&amp;INDEX(Руны!$C$27:$C$30,MATCH("поддержка",Руны!$A$27:$A$30,0))&amp;", thick carved "&amp;INDEX(Руны!$F$2:$F$10,MATCH(E19,Руны!$A$2:$A$10,0))&amp;" stroke"&amp;INDEX(Руны!$G$2:$G$10,MATCH(E19,Руны!$A$2:$A$10,0))&amp;" and a "&amp;INDEX(Руны!$I$2:$I$10,MATCH(E19,Руны!$A$2:$A$10,0))&amp;" around its outside. Inside: "&amp;INDEX(Руны!$C$14:$C$23,MATCH(P19,Руны!$A$14:$A$23,0))&amp;". Chiseled straight line ends, flat vector, no perspective, faint outer glow."</f>
        <v/>
      </c>
      <c r="S19" s="2" t="inlineStr">
        <is>
          <t>[Д] черновик</t>
        </is>
      </c>
    </row>
    <row r="20">
      <c r="A20" s="2" t="inlineStr">
        <is>
          <t>Отчаяние</t>
        </is>
      </c>
      <c r="B20" s="2" t="inlineStr">
        <is>
          <t>Поддержка</t>
        </is>
      </c>
      <c r="C20" s="2" t="inlineStr">
        <is>
          <t>Кострище</t>
        </is>
      </c>
      <c r="D20" s="2" t="inlineStr">
        <is>
          <t>Ярило</t>
        </is>
      </c>
      <c r="E20" s="2" t="inlineStr">
        <is>
          <t>Ярь</t>
        </is>
      </c>
      <c r="F20" s="2" t="inlineStr">
        <is>
          <t>множитель</t>
        </is>
      </c>
      <c r="G20" s="12" t="n">
        <v>1.3</v>
      </c>
      <c r="H20" s="13" t="n">
        <v>0</v>
      </c>
      <c r="I20" s="13" t="n">
        <v>0</v>
      </c>
      <c r="J20" s="2" t="inlineStr">
        <is>
          <t>Больше урона, но только ниже 50% здоровья (иначе ×1).</t>
        </is>
      </c>
      <c r="K20" s="2" t="inlineStr">
        <is>
          <t>удар|выстрел|чары</t>
        </is>
      </c>
      <c r="L20" s="2" t="inlineStr">
        <is>
          <t>ниже 50% здоровья</t>
        </is>
      </c>
      <c r="M20" s="14">
        <f>G20*(1+H20)</f>
        <v/>
      </c>
      <c r="N20" s="14">
        <f>IF(1+I20&gt;0,M20/(1+I20),"за здоровье")</f>
        <v/>
      </c>
      <c r="O20" s="2">
        <f>SUMPRODUCT(--ISNUMBER(SEARCH(Параметры!$G$2:$G$113,K20)))</f>
        <v/>
      </c>
      <c r="P20" s="2" t="inlineStr">
        <is>
          <t>площадь</t>
        </is>
      </c>
      <c r="Q20" s="2" t="inlineStr">
        <is>
          <t>Надломленный колос.</t>
        </is>
      </c>
      <c r="R20" s="2">
        <f>"Flat game UI rune icon, 256x256, centered on a dark slate (#1E2230) square tile. An outer "&amp;INDEX(Руны!$C$27:$C$30,MATCH("поддержка",Руны!$A$27:$A$30,0))&amp;", thick carved "&amp;INDEX(Руны!$F$2:$F$10,MATCH(E20,Руны!$A$2:$A$10,0))&amp;" stroke"&amp;INDEX(Руны!$G$2:$G$10,MATCH(E20,Руны!$A$2:$A$10,0))&amp;" and a "&amp;INDEX(Руны!$I$2:$I$10,MATCH(E20,Руны!$A$2:$A$10,0))&amp;" around its outside. Inside: "&amp;INDEX(Руны!$C$14:$C$23,MATCH(P20,Руны!$A$14:$A$23,0))&amp;". Chiseled straight line ends, flat vector, no perspective, faint outer glow."</f>
        <v/>
      </c>
      <c r="S20" s="2" t="inlineStr">
        <is>
          <t>[Д] черновик</t>
        </is>
      </c>
    </row>
    <row r="21">
      <c r="A21" s="2" t="inlineStr">
        <is>
          <t>Горение</t>
        </is>
      </c>
      <c r="B21" s="2" t="inlineStr">
        <is>
          <t>Поддержка</t>
        </is>
      </c>
      <c r="C21" s="2" t="inlineStr">
        <is>
          <t>Кострище</t>
        </is>
      </c>
      <c r="D21" s="2" t="inlineStr">
        <is>
          <t>Ярило</t>
        </is>
      </c>
      <c r="E21" s="2" t="inlineStr">
        <is>
          <t>Ярь</t>
        </is>
      </c>
      <c r="F21" s="2" t="inlineStr">
        <is>
          <t>механика</t>
        </is>
      </c>
      <c r="G21" s="12" t="n">
        <v>1</v>
      </c>
      <c r="H21" s="13" t="n">
        <v>-0.1</v>
      </c>
      <c r="I21" s="13" t="n">
        <v>0</v>
      </c>
      <c r="J21" s="2" t="inlineStr">
        <is>
          <t>Удар поджигает на 3 с (20% урона навыка в секунду).</t>
        </is>
      </c>
      <c r="K21" s="2" t="inlineStr">
        <is>
          <t>удар|выстрел</t>
        </is>
      </c>
      <c r="L21" s="2" t="inlineStr">
        <is>
          <t>—</t>
        </is>
      </c>
      <c r="M21" s="14">
        <f>G21*(1+H21)</f>
        <v/>
      </c>
      <c r="N21" s="14">
        <f>IF(1+I21&gt;0,M21/(1+I21),"за здоровье")</f>
        <v/>
      </c>
      <c r="O21" s="2">
        <f>SUMPRODUCT(--ISNUMBER(SEARCH(Параметры!$G$2:$G$113,K21)))</f>
        <v/>
      </c>
      <c r="P21" s="2" t="inlineStr">
        <is>
          <t>снаряд</t>
        </is>
      </c>
      <c r="Q21" s="2" t="inlineStr">
        <is>
          <t>Искра на остье колоса.</t>
        </is>
      </c>
      <c r="R21" s="2">
        <f>"Flat game UI rune icon, 256x256, centered on a dark slate (#1E2230) square tile. An outer "&amp;INDEX(Руны!$C$27:$C$30,MATCH("поддержка",Руны!$A$27:$A$30,0))&amp;", thick carved "&amp;INDEX(Руны!$F$2:$F$10,MATCH(E21,Руны!$A$2:$A$10,0))&amp;" stroke"&amp;INDEX(Руны!$G$2:$G$10,MATCH(E21,Руны!$A$2:$A$10,0))&amp;" and a "&amp;INDEX(Руны!$I$2:$I$10,MATCH(E21,Руны!$A$2:$A$10,0))&amp;" around its outside. Inside: "&amp;INDEX(Руны!$C$14:$C$23,MATCH(P21,Руны!$A$14:$A$23,0))&amp;". Chiseled straight line ends, flat vector, no perspective, faint outer glow."</f>
        <v/>
      </c>
      <c r="S21" s="2" t="inlineStr">
        <is>
          <t>[Д] черновик</t>
        </is>
      </c>
    </row>
    <row r="22">
      <c r="A22" s="2" t="inlineStr">
        <is>
          <t>Жертвенный сноп</t>
        </is>
      </c>
      <c r="B22" s="2" t="inlineStr">
        <is>
          <t>Поддержка</t>
        </is>
      </c>
      <c r="C22" s="2" t="inlineStr">
        <is>
          <t>Кострище</t>
        </is>
      </c>
      <c r="D22" s="2" t="inlineStr">
        <is>
          <t>Ярило</t>
        </is>
      </c>
      <c r="E22" s="2" t="inlineStr">
        <is>
          <t>Ярь</t>
        </is>
      </c>
      <c r="F22" s="2" t="inlineStr">
        <is>
          <t>механика</t>
        </is>
      </c>
      <c r="G22" s="12" t="n">
        <v>1</v>
      </c>
      <c r="H22" s="13" t="n">
        <v>0.4</v>
      </c>
      <c r="I22" s="13" t="n">
        <v>0</v>
      </c>
      <c r="J22" s="2" t="inlineStr">
        <is>
          <t>+40% урона, навык стоит ещё 5% здоровья.</t>
        </is>
      </c>
      <c r="K22" s="2" t="inlineStr">
        <is>
          <t>удар|выстрел|чары</t>
        </is>
      </c>
      <c r="L22" s="2" t="inlineStr">
        <is>
          <t>не ниже 10% здоровья</t>
        </is>
      </c>
      <c r="M22" s="14">
        <f>G22*(1+H22)</f>
        <v/>
      </c>
      <c r="N22" s="14">
        <f>IF(1+I22&gt;0,M22/(1+I22),"за здоровье")</f>
        <v/>
      </c>
      <c r="O22" s="2">
        <f>SUMPRODUCT(--ISNUMBER(SEARCH(Параметры!$G$2:$G$113,K22)))</f>
        <v/>
      </c>
      <c r="P22" s="2" t="inlineStr">
        <is>
          <t>лечение</t>
        </is>
      </c>
      <c r="Q22" s="2" t="inlineStr">
        <is>
          <t>Сноп в огне.</t>
        </is>
      </c>
      <c r="R22" s="2">
        <f>"Flat game UI rune icon, 256x256, centered on a dark slate (#1E2230) square tile. An outer "&amp;INDEX(Руны!$C$27:$C$30,MATCH("поддержка",Руны!$A$27:$A$30,0))&amp;", thick carved "&amp;INDEX(Руны!$F$2:$F$10,MATCH(E22,Руны!$A$2:$A$10,0))&amp;" stroke"&amp;INDEX(Руны!$G$2:$G$10,MATCH(E22,Руны!$A$2:$A$10,0))&amp;" and a "&amp;INDEX(Руны!$I$2:$I$10,MATCH(E22,Руны!$A$2:$A$10,0))&amp;" around its outside. Inside: "&amp;INDEX(Руны!$C$14:$C$23,MATCH(P22,Руны!$A$14:$A$23,0))&amp;". Chiseled straight line ends, flat vector, no perspective, faint outer glow."</f>
        <v/>
      </c>
      <c r="S22" s="2" t="inlineStr">
        <is>
          <t>[Д] черновик</t>
        </is>
      </c>
    </row>
    <row r="23">
      <c r="A23" s="2" t="inlineStr">
        <is>
          <t>Восход</t>
        </is>
      </c>
      <c r="B23" s="2" t="inlineStr">
        <is>
          <t>Поддержка</t>
        </is>
      </c>
      <c r="C23" s="2" t="inlineStr">
        <is>
          <t>Кострище</t>
        </is>
      </c>
      <c r="D23" s="2" t="inlineStr">
        <is>
          <t>Ярило</t>
        </is>
      </c>
      <c r="E23" s="2" t="inlineStr">
        <is>
          <t>Ярь</t>
        </is>
      </c>
      <c r="F23" s="2" t="inlineStr">
        <is>
          <t>механика</t>
        </is>
      </c>
      <c r="G23" s="12" t="n">
        <v>1</v>
      </c>
      <c r="H23" s="13" t="n">
        <v>0</v>
      </c>
      <c r="I23" s="13" t="n">
        <v>0</v>
      </c>
      <c r="J23" s="2" t="inlineStr">
        <is>
          <t>Если здоровье ниже 30%, откат навыка −50%.</t>
        </is>
      </c>
      <c r="K23" s="2" t="inlineStr">
        <is>
          <t>удар|выстрел|чары</t>
        </is>
      </c>
      <c r="L23" s="2" t="inlineStr">
        <is>
          <t>—</t>
        </is>
      </c>
      <c r="M23" s="14">
        <f>G23*(1+H23)</f>
        <v/>
      </c>
      <c r="N23" s="14">
        <f>IF(1+I23&gt;0,M23/(1+I23),"за здоровье")</f>
        <v/>
      </c>
      <c r="O23" s="2">
        <f>SUMPRODUCT(--ISNUMBER(SEARCH(Параметры!$G$2:$G$113,K23)))</f>
        <v/>
      </c>
      <c r="P23" s="2" t="inlineStr">
        <is>
          <t>рывок</t>
        </is>
      </c>
      <c r="Q23" s="2" t="inlineStr">
        <is>
          <t>Солнце из золы.</t>
        </is>
      </c>
      <c r="R23" s="2">
        <f>"Flat game UI rune icon, 256x256, centered on a dark slate (#1E2230) square tile. An outer "&amp;INDEX(Руны!$C$27:$C$30,MATCH("поддержка",Руны!$A$27:$A$30,0))&amp;", thick carved "&amp;INDEX(Руны!$F$2:$F$10,MATCH(E23,Руны!$A$2:$A$10,0))&amp;" stroke"&amp;INDEX(Руны!$G$2:$G$10,MATCH(E23,Руны!$A$2:$A$10,0))&amp;" and a "&amp;INDEX(Руны!$I$2:$I$10,MATCH(E23,Руны!$A$2:$A$10,0))&amp;" around its outside. Inside: "&amp;INDEX(Руны!$C$14:$C$23,MATCH(P23,Руны!$A$14:$A$23,0))&amp;". Chiseled straight line ends, flat vector, no perspective, faint outer glow."</f>
        <v/>
      </c>
      <c r="S23" s="2" t="inlineStr">
        <is>
          <t>[Д] черновик</t>
        </is>
      </c>
    </row>
    <row r="24">
      <c r="A24" s="2" t="inlineStr">
        <is>
          <t>Пепел</t>
        </is>
      </c>
      <c r="B24" s="2" t="inlineStr">
        <is>
          <t>Поддержка</t>
        </is>
      </c>
      <c r="C24" s="2" t="inlineStr">
        <is>
          <t>Кострище</t>
        </is>
      </c>
      <c r="D24" s="2" t="inlineStr">
        <is>
          <t>Ярило</t>
        </is>
      </c>
      <c r="E24" s="2" t="inlineStr">
        <is>
          <t>Ярь</t>
        </is>
      </c>
      <c r="F24" s="2" t="inlineStr">
        <is>
          <t>механика</t>
        </is>
      </c>
      <c r="G24" s="12" t="n">
        <v>1</v>
      </c>
      <c r="H24" s="13" t="n">
        <v>-0.1</v>
      </c>
      <c r="I24" s="13" t="n">
        <v>0</v>
      </c>
      <c r="J24" s="2" t="inlineStr">
        <is>
          <t>Убитые навыком оставляют пепел: лечит 3% героя.</t>
        </is>
      </c>
      <c r="K24" s="2" t="inlineStr">
        <is>
          <t>удар|выстрел|чары</t>
        </is>
      </c>
      <c r="L24" s="2" t="inlineStr">
        <is>
          <t>≤15% здоровья за применение</t>
        </is>
      </c>
      <c r="M24" s="14">
        <f>G24*(1+H24)</f>
        <v/>
      </c>
      <c r="N24" s="14">
        <f>IF(1+I24&gt;0,M24/(1+I24),"за здоровье")</f>
        <v/>
      </c>
      <c r="O24" s="2">
        <f>SUMPRODUCT(--ISNUMBER(SEARCH(Параметры!$G$2:$G$113,K24)))</f>
        <v/>
      </c>
      <c r="P24" s="2" t="inlineStr">
        <is>
          <t>лечение</t>
        </is>
      </c>
      <c r="Q24" s="2" t="inlineStr">
        <is>
          <t>Горсть тёплого пепла.</t>
        </is>
      </c>
      <c r="R24" s="2">
        <f>"Flat game UI rune icon, 256x256, centered on a dark slate (#1E2230) square tile. An outer "&amp;INDEX(Руны!$C$27:$C$30,MATCH("поддержка",Руны!$A$27:$A$30,0))&amp;", thick carved "&amp;INDEX(Руны!$F$2:$F$10,MATCH(E24,Руны!$A$2:$A$10,0))&amp;" stroke"&amp;INDEX(Руны!$G$2:$G$10,MATCH(E24,Руны!$A$2:$A$10,0))&amp;" and a "&amp;INDEX(Руны!$I$2:$I$10,MATCH(E24,Руны!$A$2:$A$10,0))&amp;" around its outside. Inside: "&amp;INDEX(Руны!$C$14:$C$23,MATCH(P24,Руны!$A$14:$A$23,0))&amp;". Chiseled straight line ends, flat vector, no perspective, faint outer glow."</f>
        <v/>
      </c>
      <c r="S24" s="2" t="inlineStr">
        <is>
          <t>[Д] черновик</t>
        </is>
      </c>
    </row>
    <row r="25">
      <c r="A25" s="2" t="inlineStr">
        <is>
          <t>Хоровод</t>
        </is>
      </c>
      <c r="B25" s="2" t="inlineStr">
        <is>
          <t>Поддержка</t>
        </is>
      </c>
      <c r="C25" s="2" t="inlineStr">
        <is>
          <t>Кострище</t>
        </is>
      </c>
      <c r="D25" s="2" t="inlineStr">
        <is>
          <t>Ярило</t>
        </is>
      </c>
      <c r="E25" s="2" t="inlineStr">
        <is>
          <t>Ярь</t>
        </is>
      </c>
      <c r="F25" s="2" t="inlineStr">
        <is>
          <t>механика</t>
        </is>
      </c>
      <c r="G25" s="12" t="n">
        <v>1</v>
      </c>
      <c r="H25" s="13" t="n">
        <v>0</v>
      </c>
      <c r="I25" s="13" t="n">
        <v>0.1</v>
      </c>
      <c r="J25" s="2" t="inlineStr">
        <is>
          <t>Аура следует за героем, радиус +30%.</t>
        </is>
      </c>
      <c r="K25" s="2" t="inlineStr">
        <is>
          <t>чары</t>
        </is>
      </c>
      <c r="L25" s="2" t="inlineStr">
        <is>
          <t>только аура</t>
        </is>
      </c>
      <c r="M25" s="14">
        <f>G25*(1+H25)</f>
        <v/>
      </c>
      <c r="N25" s="14">
        <f>IF(1+I25&gt;0,M25/(1+I25),"за здоровье")</f>
        <v/>
      </c>
      <c r="O25" s="2">
        <f>SUMPRODUCT(--ISNUMBER(SEARCH(Параметры!$G$2:$G$113,K25)))</f>
        <v/>
      </c>
      <c r="P25" s="2" t="inlineStr">
        <is>
          <t>аура</t>
        </is>
      </c>
      <c r="Q25" s="2" t="inlineStr">
        <is>
          <t>Кольцо рук вокруг огня.</t>
        </is>
      </c>
      <c r="R25" s="2">
        <f>"Flat game UI rune icon, 256x256, centered on a dark slate (#1E2230) square tile. An outer "&amp;INDEX(Руны!$C$27:$C$30,MATCH("поддержка",Руны!$A$27:$A$30,0))&amp;", thick carved "&amp;INDEX(Руны!$F$2:$F$10,MATCH(E25,Руны!$A$2:$A$10,0))&amp;" stroke"&amp;INDEX(Руны!$G$2:$G$10,MATCH(E25,Руны!$A$2:$A$10,0))&amp;" and a "&amp;INDEX(Руны!$I$2:$I$10,MATCH(E25,Руны!$A$2:$A$10,0))&amp;" around its outside. Inside: "&amp;INDEX(Руны!$C$14:$C$23,MATCH(P25,Руны!$A$14:$A$23,0))&amp;". Chiseled straight line ends, flat vector, no perspective, faint outer glow."</f>
        <v/>
      </c>
      <c r="S25" s="2" t="inlineStr">
        <is>
          <t>[Д] черновик</t>
        </is>
      </c>
    </row>
    <row r="26">
      <c r="A26" s="2" t="inlineStr">
        <is>
          <t>Отметина</t>
        </is>
      </c>
      <c r="B26" s="2" t="inlineStr">
        <is>
          <t>Поддержка</t>
        </is>
      </c>
      <c r="C26" s="2" t="inlineStr">
        <is>
          <t>Пекло</t>
        </is>
      </c>
      <c r="D26" s="2" t="inlineStr">
        <is>
          <t>Чернобог</t>
        </is>
      </c>
      <c r="E26" s="2" t="inlineStr">
        <is>
          <t>Порча</t>
        </is>
      </c>
      <c r="F26" s="2" t="inlineStr">
        <is>
          <t>механика</t>
        </is>
      </c>
      <c r="G26" s="12" t="n">
        <v>1</v>
      </c>
      <c r="H26" s="13" t="n">
        <v>-0.1</v>
      </c>
      <c r="I26" s="13" t="n">
        <v>0</v>
      </c>
      <c r="J26" s="2" t="inlineStr">
        <is>
          <t>Каждое попадание +1 «вина».</t>
        </is>
      </c>
      <c r="K26" s="2" t="inlineStr">
        <is>
          <t>удар|выстрел|чары</t>
        </is>
      </c>
      <c r="L26" s="2" t="inlineStr">
        <is>
          <t>—</t>
        </is>
      </c>
      <c r="M26" s="14">
        <f>G26*(1+H26)</f>
        <v/>
      </c>
      <c r="N26" s="14">
        <f>IF(1+I26&gt;0,M26/(1+I26),"за здоровье")</f>
        <v/>
      </c>
      <c r="O26" s="2">
        <f>SUMPRODUCT(--ISNUMBER(SEARCH(Параметры!$G$2:$G$113,K26)))</f>
        <v/>
      </c>
      <c r="P26" s="2" t="inlineStr">
        <is>
          <t>дебафф</t>
        </is>
      </c>
      <c r="Q26" s="2" t="inlineStr">
        <is>
          <t>Чёрная точка на коже.</t>
        </is>
      </c>
      <c r="R26" s="2">
        <f>"Flat game UI rune icon, 256x256, centered on a dark slate (#1E2230) square tile. An outer "&amp;INDEX(Руны!$C$27:$C$30,MATCH("поддержка",Руны!$A$27:$A$30,0))&amp;", thick carved "&amp;INDEX(Руны!$F$2:$F$10,MATCH(E26,Руны!$A$2:$A$10,0))&amp;" stroke"&amp;INDEX(Руны!$G$2:$G$10,MATCH(E26,Руны!$A$2:$A$10,0))&amp;" and a "&amp;INDEX(Руны!$I$2:$I$10,MATCH(E26,Руны!$A$2:$A$10,0))&amp;" around its outside. Inside: "&amp;INDEX(Руны!$C$14:$C$23,MATCH(P26,Руны!$A$14:$A$23,0))&amp;". Chiseled straight line ends, flat vector, no perspective, faint outer glow."</f>
        <v/>
      </c>
      <c r="S26" s="2" t="inlineStr">
        <is>
          <t>[Д] черновик</t>
        </is>
      </c>
    </row>
    <row r="27">
      <c r="A27" s="2" t="inlineStr">
        <is>
          <t>Приговорено</t>
        </is>
      </c>
      <c r="B27" s="2" t="inlineStr">
        <is>
          <t>Поддержка</t>
        </is>
      </c>
      <c r="C27" s="2" t="inlineStr">
        <is>
          <t>Пекло</t>
        </is>
      </c>
      <c r="D27" s="2" t="inlineStr">
        <is>
          <t>Чернобог</t>
        </is>
      </c>
      <c r="E27" s="2" t="inlineStr">
        <is>
          <t>Порча</t>
        </is>
      </c>
      <c r="F27" s="2" t="inlineStr">
        <is>
          <t>множитель</t>
        </is>
      </c>
      <c r="G27" s="12" t="n">
        <v>1.25</v>
      </c>
      <c r="H27" s="13" t="n">
        <v>0</v>
      </c>
      <c r="I27" s="13" t="n">
        <v>0.1</v>
      </c>
      <c r="J27" s="2" t="inlineStr">
        <is>
          <t>Больше урона по врагам с 3+ «винами».</t>
        </is>
      </c>
      <c r="K27" s="2" t="inlineStr">
        <is>
          <t>удар|выстрел|чары</t>
        </is>
      </c>
      <c r="L27" s="2" t="inlineStr">
        <is>
          <t>нужно 3+ вины</t>
        </is>
      </c>
      <c r="M27" s="14">
        <f>G27*(1+H27)</f>
        <v/>
      </c>
      <c r="N27" s="14">
        <f>IF(1+I27&gt;0,M27/(1+I27),"за здоровье")</f>
        <v/>
      </c>
      <c r="O27" s="2">
        <f>SUMPRODUCT(--ISNUMBER(SEARCH(Параметры!$G$2:$G$113,K27)))</f>
        <v/>
      </c>
      <c r="P27" s="2" t="inlineStr">
        <is>
          <t>дебафф</t>
        </is>
      </c>
      <c r="Q27" s="2" t="inlineStr">
        <is>
          <t>Сломанная печать.</t>
        </is>
      </c>
      <c r="R27" s="2">
        <f>"Flat game UI rune icon, 256x256, centered on a dark slate (#1E2230) square tile. An outer "&amp;INDEX(Руны!$C$27:$C$30,MATCH("поддержка",Руны!$A$27:$A$30,0))&amp;", thick carved "&amp;INDEX(Руны!$F$2:$F$10,MATCH(E27,Руны!$A$2:$A$10,0))&amp;" stroke"&amp;INDEX(Руны!$G$2:$G$10,MATCH(E27,Руны!$A$2:$A$10,0))&amp;" and a "&amp;INDEX(Руны!$I$2:$I$10,MATCH(E27,Руны!$A$2:$A$10,0))&amp;" around its outside. Inside: "&amp;INDEX(Руны!$C$14:$C$23,MATCH(P27,Руны!$A$14:$A$23,0))&amp;". Chiseled straight line ends, flat vector, no perspective, faint outer glow."</f>
        <v/>
      </c>
      <c r="S27" s="2" t="inlineStr">
        <is>
          <t>[Д] черновик</t>
        </is>
      </c>
    </row>
    <row r="28">
      <c r="A28" s="2" t="inlineStr">
        <is>
          <t>Полная чаша</t>
        </is>
      </c>
      <c r="B28" s="2" t="inlineStr">
        <is>
          <t>Поддержка</t>
        </is>
      </c>
      <c r="C28" s="2" t="inlineStr">
        <is>
          <t>Пекло</t>
        </is>
      </c>
      <c r="D28" s="2" t="inlineStr">
        <is>
          <t>Чернобог</t>
        </is>
      </c>
      <c r="E28" s="2" t="inlineStr">
        <is>
          <t>Порча</t>
        </is>
      </c>
      <c r="F28" s="2" t="inlineStr">
        <is>
          <t>механика</t>
        </is>
      </c>
      <c r="G28" s="12" t="n">
        <v>1</v>
      </c>
      <c r="H28" s="13" t="n">
        <v>0</v>
      </c>
      <c r="I28" s="13" t="n">
        <v>0</v>
      </c>
      <c r="J28" s="2" t="inlineStr">
        <is>
          <t>Навык снимает «вины» и лечит 2% за каждую.</t>
        </is>
      </c>
      <c r="K28" s="2" t="inlineStr">
        <is>
          <t>удар|выстрел|чары</t>
        </is>
      </c>
      <c r="L28" s="2" t="inlineStr">
        <is>
          <t>≤20% здоровья за применение</t>
        </is>
      </c>
      <c r="M28" s="14">
        <f>G28*(1+H28)</f>
        <v/>
      </c>
      <c r="N28" s="14">
        <f>IF(1+I28&gt;0,M28/(1+I28),"за здоровье")</f>
        <v/>
      </c>
      <c r="O28" s="2">
        <f>SUMPRODUCT(--ISNUMBER(SEARCH(Параметры!$G$2:$G$113,K28)))</f>
        <v/>
      </c>
      <c r="P28" s="2" t="inlineStr">
        <is>
          <t>лечение</t>
        </is>
      </c>
      <c r="Q28" s="2" t="inlineStr">
        <is>
          <t>Чаша, налитая всклянь.</t>
        </is>
      </c>
      <c r="R28" s="2">
        <f>"Flat game UI rune icon, 256x256, centered on a dark slate (#1E2230) square tile. An outer "&amp;INDEX(Руны!$C$27:$C$30,MATCH("поддержка",Руны!$A$27:$A$30,0))&amp;", thick carved "&amp;INDEX(Руны!$F$2:$F$10,MATCH(E28,Руны!$A$2:$A$10,0))&amp;" stroke"&amp;INDEX(Руны!$G$2:$G$10,MATCH(E28,Руны!$A$2:$A$10,0))&amp;" and a "&amp;INDEX(Руны!$I$2:$I$10,MATCH(E28,Руны!$A$2:$A$10,0))&amp;" around its outside. Inside: "&amp;INDEX(Руны!$C$14:$C$23,MATCH(P28,Руны!$A$14:$A$23,0))&amp;". Chiseled straight line ends, flat vector, no perspective, faint outer glow."</f>
        <v/>
      </c>
      <c r="S28" s="2" t="inlineStr">
        <is>
          <t>[Д] черновик</t>
        </is>
      </c>
    </row>
    <row r="29">
      <c r="A29" s="2" t="inlineStr">
        <is>
          <t>Недоимка</t>
        </is>
      </c>
      <c r="B29" s="2" t="inlineStr">
        <is>
          <t>Поддержка</t>
        </is>
      </c>
      <c r="C29" s="2" t="inlineStr">
        <is>
          <t>Пекло</t>
        </is>
      </c>
      <c r="D29" s="2" t="inlineStr">
        <is>
          <t>Чернобог</t>
        </is>
      </c>
      <c r="E29" s="2" t="inlineStr">
        <is>
          <t>Порча</t>
        </is>
      </c>
      <c r="F29" s="2" t="inlineStr">
        <is>
          <t>механика</t>
        </is>
      </c>
      <c r="G29" s="12" t="n">
        <v>1</v>
      </c>
      <c r="H29" s="13" t="n">
        <v>-0.15</v>
      </c>
      <c r="I29" s="13" t="n">
        <v>0</v>
      </c>
      <c r="J29" s="2" t="inlineStr">
        <is>
          <t>Урон, не доставшийся цели, переходит на ближайшего помеченного.</t>
        </is>
      </c>
      <c r="K29" s="2" t="inlineStr">
        <is>
          <t>удар|выстрел</t>
        </is>
      </c>
      <c r="L29" s="2" t="inlineStr">
        <is>
          <t>—</t>
        </is>
      </c>
      <c r="M29" s="14">
        <f>G29*(1+H29)</f>
        <v/>
      </c>
      <c r="N29" s="14">
        <f>IF(1+I29&gt;0,M29/(1+I29),"за здоровье")</f>
        <v/>
      </c>
      <c r="O29" s="2">
        <f>SUMPRODUCT(--ISNUMBER(SEARCH(Параметры!$G$2:$G$113,K29)))</f>
        <v/>
      </c>
      <c r="P29" s="2" t="inlineStr">
        <is>
          <t>цепь</t>
        </is>
      </c>
      <c r="Q29" s="2" t="inlineStr">
        <is>
          <t>Долговая бирка.</t>
        </is>
      </c>
      <c r="R29" s="2">
        <f>"Flat game UI rune icon, 256x256, centered on a dark slate (#1E2230) square tile. An outer "&amp;INDEX(Руны!$C$27:$C$30,MATCH("поддержка",Руны!$A$27:$A$30,0))&amp;", thick carved "&amp;INDEX(Руны!$F$2:$F$10,MATCH(E29,Руны!$A$2:$A$10,0))&amp;" stroke"&amp;INDEX(Руны!$G$2:$G$10,MATCH(E29,Руны!$A$2:$A$10,0))&amp;" and a "&amp;INDEX(Руны!$I$2:$I$10,MATCH(E29,Руны!$A$2:$A$10,0))&amp;" around its outside. Inside: "&amp;INDEX(Руны!$C$14:$C$23,MATCH(P29,Руны!$A$14:$A$23,0))&amp;". Chiseled straight line ends, flat vector, no perspective, faint outer glow."</f>
        <v/>
      </c>
      <c r="S29" s="2" t="inlineStr">
        <is>
          <t>[Д] черновик</t>
        </is>
      </c>
    </row>
    <row r="30">
      <c r="A30" s="2" t="inlineStr">
        <is>
          <t>Тёмная мера</t>
        </is>
      </c>
      <c r="B30" s="2" t="inlineStr">
        <is>
          <t>Поддержка</t>
        </is>
      </c>
      <c r="C30" s="2" t="inlineStr">
        <is>
          <t>Пекло</t>
        </is>
      </c>
      <c r="D30" s="2" t="inlineStr">
        <is>
          <t>Чернобог</t>
        </is>
      </c>
      <c r="E30" s="2" t="inlineStr">
        <is>
          <t>Порча</t>
        </is>
      </c>
      <c r="F30" s="2" t="inlineStr">
        <is>
          <t>механика</t>
        </is>
      </c>
      <c r="G30" s="12" t="n">
        <v>1</v>
      </c>
      <c r="H30" s="13" t="n">
        <v>0</v>
      </c>
      <c r="I30" s="13" t="n">
        <v>-0.2</v>
      </c>
      <c r="J30" s="2" t="inlineStr">
        <is>
          <t>Цена навыка −20%, откат +20%.</t>
        </is>
      </c>
      <c r="K30" s="2" t="inlineStr">
        <is>
          <t>удар|выстрел|чары</t>
        </is>
      </c>
      <c r="L30" s="2" t="inlineStr">
        <is>
          <t>—</t>
        </is>
      </c>
      <c r="M30" s="14">
        <f>G30*(1+H30)</f>
        <v/>
      </c>
      <c r="N30" s="14">
        <f>IF(1+I30&gt;0,M30/(1+I30),"за здоровье")</f>
        <v/>
      </c>
      <c r="O30" s="2">
        <f>SUMPRODUCT(--ISNUMBER(SEARCH(Параметры!$G$2:$G$113,K30)))</f>
        <v/>
      </c>
      <c r="P30" s="2" t="inlineStr">
        <is>
          <t>аура</t>
        </is>
      </c>
      <c r="Q30" s="2" t="inlineStr">
        <is>
          <t>Весы с гирькой-тенью.</t>
        </is>
      </c>
      <c r="R30" s="2">
        <f>"Flat game UI rune icon, 256x256, centered on a dark slate (#1E2230) square tile. An outer "&amp;INDEX(Руны!$C$27:$C$30,MATCH("поддержка",Руны!$A$27:$A$30,0))&amp;", thick carved "&amp;INDEX(Руны!$F$2:$F$10,MATCH(E30,Руны!$A$2:$A$10,0))&amp;" stroke"&amp;INDEX(Руны!$G$2:$G$10,MATCH(E30,Руны!$A$2:$A$10,0))&amp;" and a "&amp;INDEX(Руны!$I$2:$I$10,MATCH(E30,Руны!$A$2:$A$10,0))&amp;" around its outside. Inside: "&amp;INDEX(Руны!$C$14:$C$23,MATCH(P30,Руны!$A$14:$A$23,0))&amp;". Chiseled straight line ends, flat vector, no perspective, faint outer glow."</f>
        <v/>
      </c>
      <c r="S30" s="2" t="inlineStr">
        <is>
          <t>[Д] черновик</t>
        </is>
      </c>
    </row>
    <row r="31">
      <c r="A31" s="2" t="inlineStr">
        <is>
          <t>Чужой грех</t>
        </is>
      </c>
      <c r="B31" s="2" t="inlineStr">
        <is>
          <t>Поддержка</t>
        </is>
      </c>
      <c r="C31" s="2" t="inlineStr">
        <is>
          <t>Пекло</t>
        </is>
      </c>
      <c r="D31" s="2" t="inlineStr">
        <is>
          <t>Чернобог</t>
        </is>
      </c>
      <c r="E31" s="2" t="inlineStr">
        <is>
          <t>Порча</t>
        </is>
      </c>
      <c r="F31" s="2" t="inlineStr">
        <is>
          <t>механика</t>
        </is>
      </c>
      <c r="G31" s="12" t="n">
        <v>1</v>
      </c>
      <c r="H31" s="13" t="n">
        <v>0</v>
      </c>
      <c r="I31" s="13" t="n">
        <v>0</v>
      </c>
      <c r="J31" s="2" t="inlineStr">
        <is>
          <t>Дебафф навыка перескакивает на соседа при смерти цели.</t>
        </is>
      </c>
      <c r="K31" s="2" t="inlineStr">
        <is>
          <t>чары</t>
        </is>
      </c>
      <c r="L31" s="2" t="inlineStr">
        <is>
          <t>только глагол «дебафф»</t>
        </is>
      </c>
      <c r="M31" s="14">
        <f>G31*(1+H31)</f>
        <v/>
      </c>
      <c r="N31" s="14">
        <f>IF(1+I31&gt;0,M31/(1+I31),"за здоровье")</f>
        <v/>
      </c>
      <c r="O31" s="2">
        <f>SUMPRODUCT(--ISNUMBER(SEARCH(Параметры!$G$2:$G$113,K31)))</f>
        <v/>
      </c>
      <c r="P31" s="2" t="inlineStr">
        <is>
          <t>дебафф</t>
        </is>
      </c>
      <c r="Q31" s="2" t="inlineStr">
        <is>
          <t>Тень переходит к соседу.</t>
        </is>
      </c>
      <c r="R31" s="2">
        <f>"Flat game UI rune icon, 256x256, centered on a dark slate (#1E2230) square tile. An outer "&amp;INDEX(Руны!$C$27:$C$30,MATCH("поддержка",Руны!$A$27:$A$30,0))&amp;", thick carved "&amp;INDEX(Руны!$F$2:$F$10,MATCH(E31,Руны!$A$2:$A$10,0))&amp;" stroke"&amp;INDEX(Руны!$G$2:$G$10,MATCH(E31,Руны!$A$2:$A$10,0))&amp;" and a "&amp;INDEX(Руны!$I$2:$I$10,MATCH(E31,Руны!$A$2:$A$10,0))&amp;" around its outside. Inside: "&amp;INDEX(Руны!$C$14:$C$23,MATCH(P31,Руны!$A$14:$A$23,0))&amp;". Chiseled straight line ends, flat vector, no perspective, faint outer glow."</f>
        <v/>
      </c>
      <c r="S31" s="2" t="inlineStr">
        <is>
          <t>[Д] черновик</t>
        </is>
      </c>
    </row>
    <row r="32">
      <c r="A32" s="2" t="inlineStr">
        <is>
          <t>Передай дальше</t>
        </is>
      </c>
      <c r="B32" s="2" t="inlineStr">
        <is>
          <t>Поддержка</t>
        </is>
      </c>
      <c r="C32" s="2" t="inlineStr">
        <is>
          <t>Степь</t>
        </is>
      </c>
      <c r="D32" s="2" t="inlineStr">
        <is>
          <t>Дажьбог</t>
        </is>
      </c>
      <c r="E32" s="2" t="inlineStr">
        <is>
          <t>Солнце</t>
        </is>
      </c>
      <c r="F32" s="2" t="inlineStr">
        <is>
          <t>механика</t>
        </is>
      </c>
      <c r="G32" s="12" t="n">
        <v>1</v>
      </c>
      <c r="H32" s="13" t="n">
        <v>-0.2</v>
      </c>
      <c r="I32" s="13" t="n">
        <v>0</v>
      </c>
      <c r="J32" s="2" t="inlineStr">
        <is>
          <t>Бафф или лечение копируется на ещё одного союзника.</t>
        </is>
      </c>
      <c r="K32" s="2" t="inlineStr">
        <is>
          <t>чары</t>
        </is>
      </c>
      <c r="L32" s="2" t="inlineStr">
        <is>
          <t>только щит/лечение/аура</t>
        </is>
      </c>
      <c r="M32" s="14">
        <f>G32*(1+H32)</f>
        <v/>
      </c>
      <c r="N32" s="14">
        <f>IF(1+I32&gt;0,M32/(1+I32),"за здоровье")</f>
        <v/>
      </c>
      <c r="O32" s="2">
        <f>SUMPRODUCT(--ISNUMBER(SEARCH(Параметры!$G$2:$G$113,K32)))</f>
        <v/>
      </c>
      <c r="P32" s="2" t="inlineStr">
        <is>
          <t>цепь</t>
        </is>
      </c>
      <c r="Q32" s="2" t="inlineStr">
        <is>
          <t>Свет в двух ладонях.</t>
        </is>
      </c>
      <c r="R32" s="2">
        <f>"Flat game UI rune icon, 256x256, centered on a dark slate (#1E2230) square tile. An outer "&amp;INDEX(Руны!$C$27:$C$30,MATCH("поддержка",Руны!$A$27:$A$30,0))&amp;", thick carved "&amp;INDEX(Руны!$F$2:$F$10,MATCH(E32,Руны!$A$2:$A$10,0))&amp;" stroke"&amp;INDEX(Руны!$G$2:$G$10,MATCH(E32,Руны!$A$2:$A$10,0))&amp;" and a "&amp;INDEX(Руны!$I$2:$I$10,MATCH(E32,Руны!$A$2:$A$10,0))&amp;" around its outside. Inside: "&amp;INDEX(Руны!$C$14:$C$23,MATCH(P32,Руны!$A$14:$A$23,0))&amp;". Chiseled straight line ends, flat vector, no perspective, faint outer glow."</f>
        <v/>
      </c>
      <c r="S32" s="2" t="inlineStr">
        <is>
          <t>[Д] черновик</t>
        </is>
      </c>
    </row>
    <row r="33">
      <c r="A33" s="2" t="inlineStr">
        <is>
          <t>Полуденный жар</t>
        </is>
      </c>
      <c r="B33" s="2" t="inlineStr">
        <is>
          <t>Поддержка</t>
        </is>
      </c>
      <c r="C33" s="2" t="inlineStr">
        <is>
          <t>Степь</t>
        </is>
      </c>
      <c r="D33" s="2" t="inlineStr">
        <is>
          <t>Дажьбог</t>
        </is>
      </c>
      <c r="E33" s="2" t="inlineStr">
        <is>
          <t>Солнце</t>
        </is>
      </c>
      <c r="F33" s="2" t="inlineStr">
        <is>
          <t>множитель</t>
        </is>
      </c>
      <c r="G33" s="12" t="n">
        <v>1.2</v>
      </c>
      <c r="H33" s="13" t="n">
        <v>0</v>
      </c>
      <c r="I33" s="13" t="n">
        <v>0.15</v>
      </c>
      <c r="J33" s="2" t="inlineStr">
        <is>
          <t>Больше урона, враги ослеплены на 0,3 с.</t>
        </is>
      </c>
      <c r="K33" s="2" t="inlineStr">
        <is>
          <t>удар|выстрел</t>
        </is>
      </c>
      <c r="L33" s="2" t="inlineStr">
        <is>
          <t>—</t>
        </is>
      </c>
      <c r="M33" s="14">
        <f>G33*(1+H33)</f>
        <v/>
      </c>
      <c r="N33" s="14">
        <f>IF(1+I33&gt;0,M33/(1+I33),"за здоровье")</f>
        <v/>
      </c>
      <c r="O33" s="2">
        <f>SUMPRODUCT(--ISNUMBER(SEARCH(Параметры!$G$2:$G$113,K33)))</f>
        <v/>
      </c>
      <c r="P33" s="2" t="inlineStr">
        <is>
          <t>снаряд</t>
        </is>
      </c>
      <c r="Q33" s="2" t="inlineStr">
        <is>
          <t>Раскалённый добела полдень.</t>
        </is>
      </c>
      <c r="R33" s="2">
        <f>"Flat game UI rune icon, 256x256, centered on a dark slate (#1E2230) square tile. An outer "&amp;INDEX(Руны!$C$27:$C$30,MATCH("поддержка",Руны!$A$27:$A$30,0))&amp;", thick carved "&amp;INDEX(Руны!$F$2:$F$10,MATCH(E33,Руны!$A$2:$A$10,0))&amp;" stroke"&amp;INDEX(Руны!$G$2:$G$10,MATCH(E33,Руны!$A$2:$A$10,0))&amp;" and a "&amp;INDEX(Руны!$I$2:$I$10,MATCH(E33,Руны!$A$2:$A$10,0))&amp;" around its outside. Inside: "&amp;INDEX(Руны!$C$14:$C$23,MATCH(P33,Руны!$A$14:$A$23,0))&amp;". Chiseled straight line ends, flat vector, no perspective, faint outer glow."</f>
        <v/>
      </c>
      <c r="S33" s="2" t="inlineStr">
        <is>
          <t>[Д] черновик</t>
        </is>
      </c>
    </row>
    <row r="34">
      <c r="A34" s="2" t="inlineStr">
        <is>
          <t>Щедрость</t>
        </is>
      </c>
      <c r="B34" s="2" t="inlineStr">
        <is>
          <t>Поддержка</t>
        </is>
      </c>
      <c r="C34" s="2" t="inlineStr">
        <is>
          <t>Степь</t>
        </is>
      </c>
      <c r="D34" s="2" t="inlineStr">
        <is>
          <t>Дажьбог</t>
        </is>
      </c>
      <c r="E34" s="2" t="inlineStr">
        <is>
          <t>Солнце</t>
        </is>
      </c>
      <c r="F34" s="2" t="inlineStr">
        <is>
          <t>механика</t>
        </is>
      </c>
      <c r="G34" s="12" t="n">
        <v>1</v>
      </c>
      <c r="H34" s="13" t="n">
        <v>0</v>
      </c>
      <c r="I34" s="13" t="n">
        <v>0</v>
      </c>
      <c r="J34" s="2" t="inlineStr">
        <is>
          <t>Попадание даёт союзнику рядом 3 Ярь.</t>
        </is>
      </c>
      <c r="K34" s="2" t="inlineStr">
        <is>
          <t>удар|выстрел|чары</t>
        </is>
      </c>
      <c r="L34" s="2" t="inlineStr">
        <is>
          <t>≤15 Ярь за применение</t>
        </is>
      </c>
      <c r="M34" s="14">
        <f>G34*(1+H34)</f>
        <v/>
      </c>
      <c r="N34" s="14">
        <f>IF(1+I34&gt;0,M34/(1+I34),"за здоровье")</f>
        <v/>
      </c>
      <c r="O34" s="2">
        <f>SUMPRODUCT(--ISNUMBER(SEARCH(Параметры!$G$2:$G$113,K34)))</f>
        <v/>
      </c>
      <c r="P34" s="2" t="inlineStr">
        <is>
          <t>лечение</t>
        </is>
      </c>
      <c r="Q34" s="2" t="inlineStr">
        <is>
          <t>Раскрытая ладонь.</t>
        </is>
      </c>
      <c r="R34" s="2">
        <f>"Flat game UI rune icon, 256x256, centered on a dark slate (#1E2230) square tile. An outer "&amp;INDEX(Руны!$C$27:$C$30,MATCH("поддержка",Руны!$A$27:$A$30,0))&amp;", thick carved "&amp;INDEX(Руны!$F$2:$F$10,MATCH(E34,Руны!$A$2:$A$10,0))&amp;" stroke"&amp;INDEX(Руны!$G$2:$G$10,MATCH(E34,Руны!$A$2:$A$10,0))&amp;" and a "&amp;INDEX(Руны!$I$2:$I$10,MATCH(E34,Руны!$A$2:$A$10,0))&amp;" around its outside. Inside: "&amp;INDEX(Руны!$C$14:$C$23,MATCH(P34,Руны!$A$14:$A$23,0))&amp;". Chiseled straight line ends, flat vector, no perspective, faint outer glow."</f>
        <v/>
      </c>
      <c r="S34" s="2" t="inlineStr">
        <is>
          <t>[Д] черновик</t>
        </is>
      </c>
    </row>
    <row r="35">
      <c r="A35" s="2" t="inlineStr">
        <is>
          <t>Родство</t>
        </is>
      </c>
      <c r="B35" s="2" t="inlineStr">
        <is>
          <t>Поддержка</t>
        </is>
      </c>
      <c r="C35" s="2" t="inlineStr">
        <is>
          <t>Степь</t>
        </is>
      </c>
      <c r="D35" s="2" t="inlineStr">
        <is>
          <t>Дажьбог</t>
        </is>
      </c>
      <c r="E35" s="2" t="inlineStr">
        <is>
          <t>Солнце</t>
        </is>
      </c>
      <c r="F35" s="2" t="inlineStr">
        <is>
          <t>механика</t>
        </is>
      </c>
      <c r="G35" s="12" t="n">
        <v>1</v>
      </c>
      <c r="H35" s="13" t="n">
        <v>0</v>
      </c>
      <c r="I35" s="13" t="n">
        <v>0.1</v>
      </c>
      <c r="J35" s="2" t="inlineStr">
        <is>
          <t>Призванные получают +10% урона за каждого союзника рядом.</t>
        </is>
      </c>
      <c r="K35" s="2" t="inlineStr">
        <is>
          <t>чары</t>
        </is>
      </c>
      <c r="L35" s="2" t="inlineStr">
        <is>
          <t>только призыв</t>
        </is>
      </c>
      <c r="M35" s="14">
        <f>G35*(1+H35)</f>
        <v/>
      </c>
      <c r="N35" s="14">
        <f>IF(1+I35&gt;0,M35/(1+I35),"за здоровье")</f>
        <v/>
      </c>
      <c r="O35" s="2">
        <f>SUMPRODUCT(--ISNUMBER(SEARCH(Параметры!$G$2:$G$113,K35)))</f>
        <v/>
      </c>
      <c r="P35" s="2" t="inlineStr">
        <is>
          <t>призыв</t>
        </is>
      </c>
      <c r="Q35" s="2" t="inlineStr">
        <is>
          <t>Две каменные фигуры рядом.</t>
        </is>
      </c>
      <c r="R35" s="2">
        <f>"Flat game UI rune icon, 256x256, centered on a dark slate (#1E2230) square tile. An outer "&amp;INDEX(Руны!$C$27:$C$30,MATCH("поддержка",Руны!$A$27:$A$30,0))&amp;", thick carved "&amp;INDEX(Руны!$F$2:$F$10,MATCH(E35,Руны!$A$2:$A$10,0))&amp;" stroke"&amp;INDEX(Руны!$G$2:$G$10,MATCH(E35,Руны!$A$2:$A$10,0))&amp;" and a "&amp;INDEX(Руны!$I$2:$I$10,MATCH(E35,Руны!$A$2:$A$10,0))&amp;" around its outside. Inside: "&amp;INDEX(Руны!$C$14:$C$23,MATCH(P35,Руны!$A$14:$A$23,0))&amp;". Chiseled straight line ends, flat vector, no perspective, faint outer glow."</f>
        <v/>
      </c>
      <c r="S35" s="2" t="inlineStr">
        <is>
          <t>[Д] черновик</t>
        </is>
      </c>
    </row>
    <row r="36">
      <c r="A36" s="2" t="inlineStr">
        <is>
          <t>Долгий день</t>
        </is>
      </c>
      <c r="B36" s="2" t="inlineStr">
        <is>
          <t>Поддержка</t>
        </is>
      </c>
      <c r="C36" s="2" t="inlineStr">
        <is>
          <t>Степь</t>
        </is>
      </c>
      <c r="D36" s="2" t="inlineStr">
        <is>
          <t>Дажьбог</t>
        </is>
      </c>
      <c r="E36" s="2" t="inlineStr">
        <is>
          <t>Солнце</t>
        </is>
      </c>
      <c r="F36" s="2" t="inlineStr">
        <is>
          <t>механика</t>
        </is>
      </c>
      <c r="G36" s="12" t="n">
        <v>1</v>
      </c>
      <c r="H36" s="13" t="n">
        <v>0</v>
      </c>
      <c r="I36" s="13" t="n">
        <v>0.1</v>
      </c>
      <c r="J36" s="2" t="inlineStr">
        <is>
          <t>+40% длительности.</t>
        </is>
      </c>
      <c r="K36" s="2" t="inlineStr">
        <is>
          <t>чары</t>
        </is>
      </c>
      <c r="L36" s="2" t="inlineStr">
        <is>
          <t>—</t>
        </is>
      </c>
      <c r="M36" s="14">
        <f>G36*(1+H36)</f>
        <v/>
      </c>
      <c r="N36" s="14">
        <f>IF(1+I36&gt;0,M36/(1+I36),"за здоровье")</f>
        <v/>
      </c>
      <c r="O36" s="2">
        <f>SUMPRODUCT(--ISNUMBER(SEARCH(Параметры!$G$2:$G$113,K36)))</f>
        <v/>
      </c>
      <c r="P36" s="2" t="inlineStr">
        <is>
          <t>аура</t>
        </is>
      </c>
      <c r="Q36" s="2" t="inlineStr">
        <is>
          <t>Солнце, не касающееся горизонта.</t>
        </is>
      </c>
      <c r="R36" s="2">
        <f>"Flat game UI rune icon, 256x256, centered on a dark slate (#1E2230) square tile. An outer "&amp;INDEX(Руны!$C$27:$C$30,MATCH("поддержка",Руны!$A$27:$A$30,0))&amp;", thick carved "&amp;INDEX(Руны!$F$2:$F$10,MATCH(E36,Руны!$A$2:$A$10,0))&amp;" stroke"&amp;INDEX(Руны!$G$2:$G$10,MATCH(E36,Руны!$A$2:$A$10,0))&amp;" and a "&amp;INDEX(Руны!$I$2:$I$10,MATCH(E36,Руны!$A$2:$A$10,0))&amp;" around its outside. Inside: "&amp;INDEX(Руны!$C$14:$C$23,MATCH(P36,Руны!$A$14:$A$23,0))&amp;". Chiseled straight line ends, flat vector, no perspective, faint outer glow."</f>
        <v/>
      </c>
      <c r="S36" s="2" t="inlineStr">
        <is>
          <t>[Д] черновик</t>
        </is>
      </c>
    </row>
    <row r="37">
      <c r="A37" s="2" t="inlineStr">
        <is>
          <t>Светлая тропа</t>
        </is>
      </c>
      <c r="B37" s="2" t="inlineStr">
        <is>
          <t>Поддержка</t>
        </is>
      </c>
      <c r="C37" s="2" t="inlineStr">
        <is>
          <t>Степь</t>
        </is>
      </c>
      <c r="D37" s="2" t="inlineStr">
        <is>
          <t>Дажьбог</t>
        </is>
      </c>
      <c r="E37" s="2" t="inlineStr">
        <is>
          <t>Солнце</t>
        </is>
      </c>
      <c r="F37" s="2" t="inlineStr">
        <is>
          <t>механика</t>
        </is>
      </c>
      <c r="G37" s="12" t="n">
        <v>1</v>
      </c>
      <c r="H37" s="13" t="n">
        <v>0</v>
      </c>
      <c r="I37" s="13" t="n">
        <v>0</v>
      </c>
      <c r="J37" s="2" t="inlineStr">
        <is>
          <t>Рывок оставляет след: союзники на нём +15% скорости.</t>
        </is>
      </c>
      <c r="K37" s="2" t="inlineStr">
        <is>
          <t>удар|чары</t>
        </is>
      </c>
      <c r="L37" s="2" t="inlineStr">
        <is>
          <t>только рывок</t>
        </is>
      </c>
      <c r="M37" s="14">
        <f>G37*(1+H37)</f>
        <v/>
      </c>
      <c r="N37" s="14">
        <f>IF(1+I37&gt;0,M37/(1+I37),"за здоровье")</f>
        <v/>
      </c>
      <c r="O37" s="2">
        <f>SUMPRODUCT(--ISNUMBER(SEARCH(Параметры!$G$2:$G$113,K37)))</f>
        <v/>
      </c>
      <c r="P37" s="2" t="inlineStr">
        <is>
          <t>рывок</t>
        </is>
      </c>
      <c r="Q37" s="2" t="inlineStr">
        <is>
          <t>Золотая колея.</t>
        </is>
      </c>
      <c r="R37" s="2">
        <f>"Flat game UI rune icon, 256x256, centered on a dark slate (#1E2230) square tile. An outer "&amp;INDEX(Руны!$C$27:$C$30,MATCH("поддержка",Руны!$A$27:$A$30,0))&amp;", thick carved "&amp;INDEX(Руны!$F$2:$F$10,MATCH(E37,Руны!$A$2:$A$10,0))&amp;" stroke"&amp;INDEX(Руны!$G$2:$G$10,MATCH(E37,Руны!$A$2:$A$10,0))&amp;" and a "&amp;INDEX(Руны!$I$2:$I$10,MATCH(E37,Руны!$A$2:$A$10,0))&amp;" around its outside. Inside: "&amp;INDEX(Руны!$C$14:$C$23,MATCH(P37,Руны!$A$14:$A$23,0))&amp;". Chiseled straight line ends, flat vector, no perspective, faint outer glow."</f>
        <v/>
      </c>
      <c r="S37" s="2" t="inlineStr">
        <is>
          <t>[Д] черновик</t>
        </is>
      </c>
    </row>
    <row r="38">
      <c r="A38" s="2" t="inlineStr">
        <is>
          <t>Встречный</t>
        </is>
      </c>
      <c r="B38" s="2" t="inlineStr">
        <is>
          <t>Поддержка</t>
        </is>
      </c>
      <c r="C38" s="2" t="inlineStr">
        <is>
          <t>Берег</t>
        </is>
      </c>
      <c r="D38" s="2" t="inlineStr">
        <is>
          <t>Стрибог</t>
        </is>
      </c>
      <c r="E38" s="2" t="inlineStr">
        <is>
          <t>Ветер</t>
        </is>
      </c>
      <c r="F38" s="2" t="inlineStr">
        <is>
          <t>механика</t>
        </is>
      </c>
      <c r="G38" s="12" t="n">
        <v>1</v>
      </c>
      <c r="H38" s="13" t="n">
        <v>-0.1</v>
      </c>
      <c r="I38" s="13" t="n">
        <v>0</v>
      </c>
      <c r="J38" s="2" t="inlineStr">
        <is>
          <t>Снаряд отражает первый вражеский снаряд на пути.</t>
        </is>
      </c>
      <c r="K38" s="2" t="inlineStr">
        <is>
          <t>выстрел|чары</t>
        </is>
      </c>
      <c r="L38" s="2" t="inlineStr">
        <is>
          <t>—</t>
        </is>
      </c>
      <c r="M38" s="14">
        <f>G38*(1+H38)</f>
        <v/>
      </c>
      <c r="N38" s="14">
        <f>IF(1+I38&gt;0,M38/(1+I38),"за здоровье")</f>
        <v/>
      </c>
      <c r="O38" s="2">
        <f>SUMPRODUCT(--ISNUMBER(SEARCH(Параметры!$G$2:$G$113,K38)))</f>
        <v/>
      </c>
      <c r="P38" s="2" t="inlineStr">
        <is>
          <t>снаряд</t>
        </is>
      </c>
      <c r="Q38" s="2" t="inlineStr">
        <is>
          <t>Два снаряда навстречу.</t>
        </is>
      </c>
      <c r="R38" s="2">
        <f>"Flat game UI rune icon, 256x256, centered on a dark slate (#1E2230) square tile. An outer "&amp;INDEX(Руны!$C$27:$C$30,MATCH("поддержка",Руны!$A$27:$A$30,0))&amp;", thick carved "&amp;INDEX(Руны!$F$2:$F$10,MATCH(E38,Руны!$A$2:$A$10,0))&amp;" stroke"&amp;INDEX(Руны!$G$2:$G$10,MATCH(E38,Руны!$A$2:$A$10,0))&amp;" and a "&amp;INDEX(Руны!$I$2:$I$10,MATCH(E38,Руны!$A$2:$A$10,0))&amp;" around its outside. Inside: "&amp;INDEX(Руны!$C$14:$C$23,MATCH(P38,Руны!$A$14:$A$23,0))&amp;". Chiseled straight line ends, flat vector, no perspective, faint outer glow."</f>
        <v/>
      </c>
      <c r="S38" s="2" t="inlineStr">
        <is>
          <t>[Д] черновик</t>
        </is>
      </c>
    </row>
    <row r="39">
      <c r="A39" s="2" t="inlineStr">
        <is>
          <t>Изгиб</t>
        </is>
      </c>
      <c r="B39" s="2" t="inlineStr">
        <is>
          <t>Поддержка</t>
        </is>
      </c>
      <c r="C39" s="2" t="inlineStr">
        <is>
          <t>Берег</t>
        </is>
      </c>
      <c r="D39" s="2" t="inlineStr">
        <is>
          <t>Стрибог</t>
        </is>
      </c>
      <c r="E39" s="2" t="inlineStr">
        <is>
          <t>Ветер</t>
        </is>
      </c>
      <c r="F39" s="2" t="inlineStr">
        <is>
          <t>механика</t>
        </is>
      </c>
      <c r="G39" s="12" t="n">
        <v>1</v>
      </c>
      <c r="H39" s="13" t="n">
        <v>-0.05</v>
      </c>
      <c r="I39" s="13" t="n">
        <v>0</v>
      </c>
      <c r="J39" s="2" t="inlineStr">
        <is>
          <t>Снаряды самонаводятся слабо (15°/с).</t>
        </is>
      </c>
      <c r="K39" s="2" t="inlineStr">
        <is>
          <t>выстрел|чары</t>
        </is>
      </c>
      <c r="L39" s="2" t="inlineStr">
        <is>
          <t>только снаряд</t>
        </is>
      </c>
      <c r="M39" s="14">
        <f>G39*(1+H39)</f>
        <v/>
      </c>
      <c r="N39" s="14">
        <f>IF(1+I39&gt;0,M39/(1+I39),"за здоровье")</f>
        <v/>
      </c>
      <c r="O39" s="2">
        <f>SUMPRODUCT(--ISNUMBER(SEARCH(Параметры!$G$2:$G$113,K39)))</f>
        <v/>
      </c>
      <c r="P39" s="2" t="inlineStr">
        <is>
          <t>снаряд</t>
        </is>
      </c>
      <c r="Q39" s="2" t="inlineStr">
        <is>
          <t>Дуга полёта.</t>
        </is>
      </c>
      <c r="R39" s="2">
        <f>"Flat game UI rune icon, 256x256, centered on a dark slate (#1E2230) square tile. An outer "&amp;INDEX(Руны!$C$27:$C$30,MATCH("поддержка",Руны!$A$27:$A$30,0))&amp;", thick carved "&amp;INDEX(Руны!$F$2:$F$10,MATCH(E39,Руны!$A$2:$A$10,0))&amp;" stroke"&amp;INDEX(Руны!$G$2:$G$10,MATCH(E39,Руны!$A$2:$A$10,0))&amp;" and a "&amp;INDEX(Руны!$I$2:$I$10,MATCH(E39,Руны!$A$2:$A$10,0))&amp;" around its outside. Inside: "&amp;INDEX(Руны!$C$14:$C$23,MATCH(P39,Руны!$A$14:$A$23,0))&amp;". Chiseled straight line ends, flat vector, no perspective, faint outer glow."</f>
        <v/>
      </c>
      <c r="S39" s="2" t="inlineStr">
        <is>
          <t>[Д] черновик</t>
        </is>
      </c>
    </row>
    <row r="40">
      <c r="A40" s="2" t="inlineStr">
        <is>
          <t>Без остановки</t>
        </is>
      </c>
      <c r="B40" s="2" t="inlineStr">
        <is>
          <t>Поддержка</t>
        </is>
      </c>
      <c r="C40" s="2" t="inlineStr">
        <is>
          <t>Берег</t>
        </is>
      </c>
      <c r="D40" s="2" t="inlineStr">
        <is>
          <t>Стрибог</t>
        </is>
      </c>
      <c r="E40" s="2" t="inlineStr">
        <is>
          <t>Ветер</t>
        </is>
      </c>
      <c r="F40" s="2" t="inlineStr">
        <is>
          <t>множитель</t>
        </is>
      </c>
      <c r="G40" s="12" t="n">
        <v>1.2</v>
      </c>
      <c r="H40" s="13" t="n">
        <v>0</v>
      </c>
      <c r="I40" s="13" t="n">
        <v>0</v>
      </c>
      <c r="J40" s="2" t="inlineStr">
        <is>
          <t>Больше урона, если герой двигался последние 1 с.</t>
        </is>
      </c>
      <c r="K40" s="2" t="inlineStr">
        <is>
          <t>удар|выстрел|чары</t>
        </is>
      </c>
      <c r="L40" s="2" t="inlineStr">
        <is>
          <t>в движении</t>
        </is>
      </c>
      <c r="M40" s="14">
        <f>G40*(1+H40)</f>
        <v/>
      </c>
      <c r="N40" s="14">
        <f>IF(1+I40&gt;0,M40/(1+I40),"за здоровье")</f>
        <v/>
      </c>
      <c r="O40" s="2">
        <f>SUMPRODUCT(--ISNUMBER(SEARCH(Параметры!$G$2:$G$113,K40)))</f>
        <v/>
      </c>
      <c r="P40" s="2" t="inlineStr">
        <is>
          <t>рывок</t>
        </is>
      </c>
      <c r="Q40" s="2" t="inlineStr">
        <is>
          <t>Следы на песке.</t>
        </is>
      </c>
      <c r="R40" s="2">
        <f>"Flat game UI rune icon, 256x256, centered on a dark slate (#1E2230) square tile. An outer "&amp;INDEX(Руны!$C$27:$C$30,MATCH("поддержка",Руны!$A$27:$A$30,0))&amp;", thick carved "&amp;INDEX(Руны!$F$2:$F$10,MATCH(E40,Руны!$A$2:$A$10,0))&amp;" stroke"&amp;INDEX(Руны!$G$2:$G$10,MATCH(E40,Руны!$A$2:$A$10,0))&amp;" and a "&amp;INDEX(Руны!$I$2:$I$10,MATCH(E40,Руны!$A$2:$A$10,0))&amp;" around its outside. Inside: "&amp;INDEX(Руны!$C$14:$C$23,MATCH(P40,Руны!$A$14:$A$23,0))&amp;". Chiseled straight line ends, flat vector, no perspective, faint outer glow."</f>
        <v/>
      </c>
      <c r="S40" s="2" t="inlineStr">
        <is>
          <t>[Д] черновик</t>
        </is>
      </c>
    </row>
    <row r="41">
      <c r="A41" s="2" t="inlineStr">
        <is>
          <t>Попутный заряд</t>
        </is>
      </c>
      <c r="B41" s="2" t="inlineStr">
        <is>
          <t>Поддержка</t>
        </is>
      </c>
      <c r="C41" s="2" t="inlineStr">
        <is>
          <t>Берег</t>
        </is>
      </c>
      <c r="D41" s="2" t="inlineStr">
        <is>
          <t>Стрибог</t>
        </is>
      </c>
      <c r="E41" s="2" t="inlineStr">
        <is>
          <t>Ветер</t>
        </is>
      </c>
      <c r="F41" s="2" t="inlineStr">
        <is>
          <t>механика</t>
        </is>
      </c>
      <c r="G41" s="12" t="n">
        <v>1</v>
      </c>
      <c r="H41" s="13" t="n">
        <v>0</v>
      </c>
      <c r="I41" s="13" t="n">
        <v>0.1</v>
      </c>
      <c r="J41" s="2" t="inlineStr">
        <is>
          <t>+1 заряд навыка.</t>
        </is>
      </c>
      <c r="K41" s="2" t="inlineStr">
        <is>
          <t>удар|чары</t>
        </is>
      </c>
      <c r="L41" s="2" t="inlineStr">
        <is>
          <t>только рывок</t>
        </is>
      </c>
      <c r="M41" s="14">
        <f>G41*(1+H41)</f>
        <v/>
      </c>
      <c r="N41" s="14">
        <f>IF(1+I41&gt;0,M41/(1+I41),"за здоровье")</f>
        <v/>
      </c>
      <c r="O41" s="2">
        <f>SUMPRODUCT(--ISNUMBER(SEARCH(Параметры!$G$2:$G$113,K41)))</f>
        <v/>
      </c>
      <c r="P41" s="2" t="inlineStr">
        <is>
          <t>рывок</t>
        </is>
      </c>
      <c r="Q41" s="2" t="inlineStr">
        <is>
          <t>Два пера в ряд.</t>
        </is>
      </c>
      <c r="R41" s="2">
        <f>"Flat game UI rune icon, 256x256, centered on a dark slate (#1E2230) square tile. An outer "&amp;INDEX(Руны!$C$27:$C$30,MATCH("поддержка",Руны!$A$27:$A$30,0))&amp;", thick carved "&amp;INDEX(Руны!$F$2:$F$10,MATCH(E41,Руны!$A$2:$A$10,0))&amp;" stroke"&amp;INDEX(Руны!$G$2:$G$10,MATCH(E41,Руны!$A$2:$A$10,0))&amp;" and a "&amp;INDEX(Руны!$I$2:$I$10,MATCH(E41,Руны!$A$2:$A$10,0))&amp;" around its outside. Inside: "&amp;INDEX(Руны!$C$14:$C$23,MATCH(P41,Руны!$A$14:$A$23,0))&amp;". Chiseled straight line ends, flat vector, no perspective, faint outer glow."</f>
        <v/>
      </c>
      <c r="S41" s="2" t="inlineStr">
        <is>
          <t>[Д] черновик</t>
        </is>
      </c>
    </row>
    <row r="42">
      <c r="A42" s="2" t="inlineStr">
        <is>
          <t>Разгон</t>
        </is>
      </c>
      <c r="B42" s="2" t="inlineStr">
        <is>
          <t>Поддержка</t>
        </is>
      </c>
      <c r="C42" s="2" t="inlineStr">
        <is>
          <t>Берег</t>
        </is>
      </c>
      <c r="D42" s="2" t="inlineStr">
        <is>
          <t>Стрибог</t>
        </is>
      </c>
      <c r="E42" s="2" t="inlineStr">
        <is>
          <t>Ветер</t>
        </is>
      </c>
      <c r="F42" s="2" t="inlineStr">
        <is>
          <t>механика</t>
        </is>
      </c>
      <c r="G42" s="12" t="n">
        <v>1</v>
      </c>
      <c r="H42" s="13" t="n">
        <v>-0.1</v>
      </c>
      <c r="I42" s="13" t="n">
        <v>0</v>
      </c>
      <c r="J42" s="2" t="inlineStr">
        <is>
          <t>Площадь отбрасывает врагов на 3 м.</t>
        </is>
      </c>
      <c r="K42" s="2" t="inlineStr">
        <is>
          <t>удар|чары</t>
        </is>
      </c>
      <c r="L42" s="2" t="inlineStr">
        <is>
          <t>только площадь</t>
        </is>
      </c>
      <c r="M42" s="14">
        <f>G42*(1+H42)</f>
        <v/>
      </c>
      <c r="N42" s="14">
        <f>IF(1+I42&gt;0,M42/(1+I42),"за здоровье")</f>
        <v/>
      </c>
      <c r="O42" s="2">
        <f>SUMPRODUCT(--ISNUMBER(SEARCH(Параметры!$G$2:$G$113,K42)))</f>
        <v/>
      </c>
      <c r="P42" s="2" t="inlineStr">
        <is>
          <t>площадь</t>
        </is>
      </c>
      <c r="Q42" s="2" t="inlineStr">
        <is>
          <t>Круги на воде от ветра.</t>
        </is>
      </c>
      <c r="R42" s="2">
        <f>"Flat game UI rune icon, 256x256, centered on a dark slate (#1E2230) square tile. An outer "&amp;INDEX(Руны!$C$27:$C$30,MATCH("поддержка",Руны!$A$27:$A$30,0))&amp;", thick carved "&amp;INDEX(Руны!$F$2:$F$10,MATCH(E42,Руны!$A$2:$A$10,0))&amp;" stroke"&amp;INDEX(Руны!$G$2:$G$10,MATCH(E42,Руны!$A$2:$A$10,0))&amp;" and a "&amp;INDEX(Руны!$I$2:$I$10,MATCH(E42,Руны!$A$2:$A$10,0))&amp;" around its outside. Inside: "&amp;INDEX(Руны!$C$14:$C$23,MATCH(P42,Руны!$A$14:$A$23,0))&amp;". Chiseled straight line ends, flat vector, no perspective, faint outer glow."</f>
        <v/>
      </c>
      <c r="S42" s="2" t="inlineStr">
        <is>
          <t>[Д] черновик</t>
        </is>
      </c>
    </row>
    <row r="43">
      <c r="A43" s="2" t="inlineStr">
        <is>
          <t>Соль на ветру</t>
        </is>
      </c>
      <c r="B43" s="2" t="inlineStr">
        <is>
          <t>Поддержка</t>
        </is>
      </c>
      <c r="C43" s="2" t="inlineStr">
        <is>
          <t>Берег</t>
        </is>
      </c>
      <c r="D43" s="2" t="inlineStr">
        <is>
          <t>Стрибог</t>
        </is>
      </c>
      <c r="E43" s="2" t="inlineStr">
        <is>
          <t>Ветер</t>
        </is>
      </c>
      <c r="F43" s="2" t="inlineStr">
        <is>
          <t>механика</t>
        </is>
      </c>
      <c r="G43" s="12" t="n">
        <v>1</v>
      </c>
      <c r="H43" s="13" t="n">
        <v>0</v>
      </c>
      <c r="I43" s="13" t="n">
        <v>0</v>
      </c>
      <c r="J43" s="2" t="inlineStr">
        <is>
          <t>Аура снимает с союзников замедление.</t>
        </is>
      </c>
      <c r="K43" s="2" t="inlineStr">
        <is>
          <t>чары</t>
        </is>
      </c>
      <c r="L43" s="2" t="inlineStr">
        <is>
          <t>только аура</t>
        </is>
      </c>
      <c r="M43" s="14">
        <f>G43*(1+H43)</f>
        <v/>
      </c>
      <c r="N43" s="14">
        <f>IF(1+I43&gt;0,M43/(1+I43),"за здоровье")</f>
        <v/>
      </c>
      <c r="O43" s="2">
        <f>SUMPRODUCT(--ISNUMBER(SEARCH(Параметры!$G$2:$G$113,K43)))</f>
        <v/>
      </c>
      <c r="P43" s="2" t="inlineStr">
        <is>
          <t>аура</t>
        </is>
      </c>
      <c r="Q43" s="2" t="inlineStr">
        <is>
          <t>Соль в вихре.</t>
        </is>
      </c>
      <c r="R43" s="2">
        <f>"Flat game UI rune icon, 256x256, centered on a dark slate (#1E2230) square tile. An outer "&amp;INDEX(Руны!$C$27:$C$30,MATCH("поддержка",Руны!$A$27:$A$30,0))&amp;", thick carved "&amp;INDEX(Руны!$F$2:$F$10,MATCH(E43,Руны!$A$2:$A$10,0))&amp;" stroke"&amp;INDEX(Руны!$G$2:$G$10,MATCH(E43,Руны!$A$2:$A$10,0))&amp;" and a "&amp;INDEX(Руны!$I$2:$I$10,MATCH(E43,Руны!$A$2:$A$10,0))&amp;" around its outside. Inside: "&amp;INDEX(Руны!$C$14:$C$23,MATCH(P43,Руны!$A$14:$A$23,0))&amp;". Chiseled straight line ends, flat vector, no perspective, faint outer glow."</f>
        <v/>
      </c>
      <c r="S43" s="2" t="inlineStr">
        <is>
          <t>[Д] черновик</t>
        </is>
      </c>
    </row>
    <row r="44">
      <c r="A44" s="2" t="inlineStr">
        <is>
          <t>Заготовка</t>
        </is>
      </c>
      <c r="B44" s="2" t="inlineStr">
        <is>
          <t>Поддержка</t>
        </is>
      </c>
      <c r="C44" s="2" t="inlineStr">
        <is>
          <t>Горнило</t>
        </is>
      </c>
      <c r="D44" s="2" t="inlineStr">
        <is>
          <t>Сварог</t>
        </is>
      </c>
      <c r="E44" s="2" t="inlineStr">
        <is>
          <t>Жар</t>
        </is>
      </c>
      <c r="F44" s="2" t="inlineStr">
        <is>
          <t>механика</t>
        </is>
      </c>
      <c r="G44" s="12" t="n">
        <v>1</v>
      </c>
      <c r="H44" s="13" t="n">
        <v>-0.1</v>
      </c>
      <c r="I44" s="13" t="n">
        <v>0</v>
      </c>
      <c r="J44" s="2" t="inlineStr">
        <is>
          <t>Навык оставляет заготовку (взрыв 30% урона при ударе по ней).</t>
        </is>
      </c>
      <c r="K44" s="2" t="inlineStr">
        <is>
          <t>удар|выстрел</t>
        </is>
      </c>
      <c r="L44" s="2" t="inlineStr">
        <is>
          <t>≤3 заготовки</t>
        </is>
      </c>
      <c r="M44" s="14">
        <f>G44*(1+H44)</f>
        <v/>
      </c>
      <c r="N44" s="14">
        <f>IF(1+I44&gt;0,M44/(1+I44),"за здоровье")</f>
        <v/>
      </c>
      <c r="O44" s="2">
        <f>SUMPRODUCT(--ISNUMBER(SEARCH(Параметры!$G$2:$G$113,K44)))</f>
        <v/>
      </c>
      <c r="P44" s="2" t="inlineStr">
        <is>
          <t>площадь</t>
        </is>
      </c>
      <c r="Q44" s="2" t="inlineStr">
        <is>
          <t>Раскалённый брусок металла.</t>
        </is>
      </c>
      <c r="R44" s="2">
        <f>"Flat game UI rune icon, 256x256, centered on a dark slate (#1E2230) square tile. An outer "&amp;INDEX(Руны!$C$27:$C$30,MATCH("поддержка",Руны!$A$27:$A$30,0))&amp;", thick carved "&amp;INDEX(Руны!$F$2:$F$10,MATCH(E44,Руны!$A$2:$A$10,0))&amp;" stroke"&amp;INDEX(Руны!$G$2:$G$10,MATCH(E44,Руны!$A$2:$A$10,0))&amp;" and a "&amp;INDEX(Руны!$I$2:$I$10,MATCH(E44,Руны!$A$2:$A$10,0))&amp;" around its outside. Inside: "&amp;INDEX(Руны!$C$14:$C$23,MATCH(P44,Руны!$A$14:$A$23,0))&amp;". Chiseled straight line ends, flat vector, no perspective, faint outer glow."</f>
        <v/>
      </c>
      <c r="S44" s="2" t="inlineStr">
        <is>
          <t>[Д] черновик</t>
        </is>
      </c>
    </row>
    <row r="45">
      <c r="A45" s="2" t="inlineStr">
        <is>
          <t>Закалённое</t>
        </is>
      </c>
      <c r="B45" s="2" t="inlineStr">
        <is>
          <t>Поддержка</t>
        </is>
      </c>
      <c r="C45" s="2" t="inlineStr">
        <is>
          <t>Горнило</t>
        </is>
      </c>
      <c r="D45" s="2" t="inlineStr">
        <is>
          <t>Сварог</t>
        </is>
      </c>
      <c r="E45" s="2" t="inlineStr">
        <is>
          <t>Жар</t>
        </is>
      </c>
      <c r="F45" s="2" t="inlineStr">
        <is>
          <t>множитель</t>
        </is>
      </c>
      <c r="G45" s="12" t="n">
        <v>1.2</v>
      </c>
      <c r="H45" s="13" t="n">
        <v>0</v>
      </c>
      <c r="I45" s="13" t="n">
        <v>0.15</v>
      </c>
      <c r="J45" s="2" t="inlineStr">
        <is>
          <t>Больше урона по щитам и броне.</t>
        </is>
      </c>
      <c r="K45" s="2" t="inlineStr">
        <is>
          <t>удар|выстрел</t>
        </is>
      </c>
      <c r="L45" s="2" t="inlineStr">
        <is>
          <t>—</t>
        </is>
      </c>
      <c r="M45" s="14">
        <f>G45*(1+H45)</f>
        <v/>
      </c>
      <c r="N45" s="14">
        <f>IF(1+I45&gt;0,M45/(1+I45),"за здоровье")</f>
        <v/>
      </c>
      <c r="O45" s="2">
        <f>SUMPRODUCT(--ISNUMBER(SEARCH(Параметры!$G$2:$G$113,K45)))</f>
        <v/>
      </c>
      <c r="P45" s="2" t="inlineStr">
        <is>
          <t>щит</t>
        </is>
      </c>
      <c r="Q45" s="2" t="inlineStr">
        <is>
          <t>Шипящий в воде клинок.</t>
        </is>
      </c>
      <c r="R45" s="2">
        <f>"Flat game UI rune icon, 256x256, centered on a dark slate (#1E2230) square tile. An outer "&amp;INDEX(Руны!$C$27:$C$30,MATCH("поддержка",Руны!$A$27:$A$30,0))&amp;", thick carved "&amp;INDEX(Руны!$F$2:$F$10,MATCH(E45,Руны!$A$2:$A$10,0))&amp;" stroke"&amp;INDEX(Руны!$G$2:$G$10,MATCH(E45,Руны!$A$2:$A$10,0))&amp;" and a "&amp;INDEX(Руны!$I$2:$I$10,MATCH(E45,Руны!$A$2:$A$10,0))&amp;" around its outside. Inside: "&amp;INDEX(Руны!$C$14:$C$23,MATCH(P45,Руны!$A$14:$A$23,0))&amp;". Chiseled straight line ends, flat vector, no perspective, faint outer glow."</f>
        <v/>
      </c>
      <c r="S45" s="2" t="inlineStr">
        <is>
          <t>[Д] черновик</t>
        </is>
      </c>
    </row>
    <row r="46">
      <c r="A46" s="2" t="inlineStr">
        <is>
          <t>Лишняя турель</t>
        </is>
      </c>
      <c r="B46" s="2" t="inlineStr">
        <is>
          <t>Поддержка</t>
        </is>
      </c>
      <c r="C46" s="2" t="inlineStr">
        <is>
          <t>Горнило</t>
        </is>
      </c>
      <c r="D46" s="2" t="inlineStr">
        <is>
          <t>Сварог</t>
        </is>
      </c>
      <c r="E46" s="2" t="inlineStr">
        <is>
          <t>Жар</t>
        </is>
      </c>
      <c r="F46" s="2" t="inlineStr">
        <is>
          <t>механика</t>
        </is>
      </c>
      <c r="G46" s="12" t="n">
        <v>1</v>
      </c>
      <c r="H46" s="13" t="n">
        <v>-0.2</v>
      </c>
      <c r="I46" s="13" t="n">
        <v>0.2</v>
      </c>
      <c r="J46" s="2" t="inlineStr">
        <is>
          <t>+1 призванная турель.</t>
        </is>
      </c>
      <c r="K46" s="2" t="inlineStr">
        <is>
          <t>чары</t>
        </is>
      </c>
      <c r="L46" s="2" t="inlineStr">
        <is>
          <t>только призыв</t>
        </is>
      </c>
      <c r="M46" s="14">
        <f>G46*(1+H46)</f>
        <v/>
      </c>
      <c r="N46" s="14">
        <f>IF(1+I46&gt;0,M46/(1+I46),"за здоровье")</f>
        <v/>
      </c>
      <c r="O46" s="2">
        <f>SUMPRODUCT(--ISNUMBER(SEARCH(Параметры!$G$2:$G$113,K46)))</f>
        <v/>
      </c>
      <c r="P46" s="2" t="inlineStr">
        <is>
          <t>призыв</t>
        </is>
      </c>
      <c r="Q46" s="2" t="inlineStr">
        <is>
          <t>Две треноги у горна.</t>
        </is>
      </c>
      <c r="R46" s="2">
        <f>"Flat game UI rune icon, 256x256, centered on a dark slate (#1E2230) square tile. An outer "&amp;INDEX(Руны!$C$27:$C$30,MATCH("поддержка",Руны!$A$27:$A$30,0))&amp;", thick carved "&amp;INDEX(Руны!$F$2:$F$10,MATCH(E46,Руны!$A$2:$A$10,0))&amp;" stroke"&amp;INDEX(Руны!$G$2:$G$10,MATCH(E46,Руны!$A$2:$A$10,0))&amp;" and a "&amp;INDEX(Руны!$I$2:$I$10,MATCH(E46,Руны!$A$2:$A$10,0))&amp;" around its outside. Inside: "&amp;INDEX(Руны!$C$14:$C$23,MATCH(P46,Руны!$A$14:$A$23,0))&amp;". Chiseled straight line ends, flat vector, no perspective, faint outer glow."</f>
        <v/>
      </c>
      <c r="S46" s="2" t="inlineStr">
        <is>
          <t>[Д] черновик</t>
        </is>
      </c>
    </row>
    <row r="47">
      <c r="A47" s="2" t="inlineStr">
        <is>
          <t>Клеймёный</t>
        </is>
      </c>
      <c r="B47" s="2" t="inlineStr">
        <is>
          <t>Поддержка</t>
        </is>
      </c>
      <c r="C47" s="2" t="inlineStr">
        <is>
          <t>Горнило</t>
        </is>
      </c>
      <c r="D47" s="2" t="inlineStr">
        <is>
          <t>Сварог</t>
        </is>
      </c>
      <c r="E47" s="2" t="inlineStr">
        <is>
          <t>Жар</t>
        </is>
      </c>
      <c r="F47" s="2" t="inlineStr">
        <is>
          <t>механика</t>
        </is>
      </c>
      <c r="G47" s="12" t="n">
        <v>1</v>
      </c>
      <c r="H47" s="13" t="n">
        <v>0</v>
      </c>
      <c r="I47" s="13" t="n">
        <v>0</v>
      </c>
      <c r="J47" s="2" t="inlineStr">
        <is>
          <t>Попадание ставит клеймо на 5 с: +10% урона турелей.</t>
        </is>
      </c>
      <c r="K47" s="2" t="inlineStr">
        <is>
          <t>удар|выстрел</t>
        </is>
      </c>
      <c r="L47" s="2" t="inlineStr">
        <is>
          <t>—</t>
        </is>
      </c>
      <c r="M47" s="14">
        <f>G47*(1+H47)</f>
        <v/>
      </c>
      <c r="N47" s="14">
        <f>IF(1+I47&gt;0,M47/(1+I47),"за здоровье")</f>
        <v/>
      </c>
      <c r="O47" s="2">
        <f>SUMPRODUCT(--ISNUMBER(SEARCH(Параметры!$G$2:$G$113,K47)))</f>
        <v/>
      </c>
      <c r="P47" s="2" t="inlineStr">
        <is>
          <t>дебафф</t>
        </is>
      </c>
      <c r="Q47" s="2" t="inlineStr">
        <is>
          <t>Знак, выжженный на железе.</t>
        </is>
      </c>
      <c r="R47" s="2">
        <f>"Flat game UI rune icon, 256x256, centered on a dark slate (#1E2230) square tile. An outer "&amp;INDEX(Руны!$C$27:$C$30,MATCH("поддержка",Руны!$A$27:$A$30,0))&amp;", thick carved "&amp;INDEX(Руны!$F$2:$F$10,MATCH(E47,Руны!$A$2:$A$10,0))&amp;" stroke"&amp;INDEX(Руны!$G$2:$G$10,MATCH(E47,Руны!$A$2:$A$10,0))&amp;" and a "&amp;INDEX(Руны!$I$2:$I$10,MATCH(E47,Руны!$A$2:$A$10,0))&amp;" around its outside. Inside: "&amp;INDEX(Руны!$C$14:$C$23,MATCH(P47,Руны!$A$14:$A$23,0))&amp;". Chiseled straight line ends, flat vector, no perspective, faint outer glow."</f>
        <v/>
      </c>
      <c r="S47" s="2" t="inlineStr">
        <is>
          <t>[Д] черновик</t>
        </is>
      </c>
    </row>
    <row r="48">
      <c r="A48" s="2" t="inlineStr">
        <is>
          <t>По мерке</t>
        </is>
      </c>
      <c r="B48" s="2" t="inlineStr">
        <is>
          <t>Поддержка</t>
        </is>
      </c>
      <c r="C48" s="2" t="inlineStr">
        <is>
          <t>Горнило</t>
        </is>
      </c>
      <c r="D48" s="2" t="inlineStr">
        <is>
          <t>Сварог</t>
        </is>
      </c>
      <c r="E48" s="2" t="inlineStr">
        <is>
          <t>Жар</t>
        </is>
      </c>
      <c r="F48" s="2" t="inlineStr">
        <is>
          <t>механика</t>
        </is>
      </c>
      <c r="G48" s="12" t="n">
        <v>1</v>
      </c>
      <c r="H48" s="13" t="n">
        <v>0</v>
      </c>
      <c r="I48" s="13" t="n">
        <v>0</v>
      </c>
      <c r="J48" s="2" t="inlineStr">
        <is>
          <t>Зона навыка становится правилом: враги внутри −20% урона.</t>
        </is>
      </c>
      <c r="K48" s="2" t="inlineStr">
        <is>
          <t>чары</t>
        </is>
      </c>
      <c r="L48" s="2" t="inlineStr">
        <is>
          <t>только аура/площадь</t>
        </is>
      </c>
      <c r="M48" s="14">
        <f>G48*(1+H48)</f>
        <v/>
      </c>
      <c r="N48" s="14">
        <f>IF(1+I48&gt;0,M48/(1+I48),"за здоровье")</f>
        <v/>
      </c>
      <c r="O48" s="2">
        <f>SUMPRODUCT(--ISNUMBER(SEARCH(Параметры!$G$2:$G$113,K48)))</f>
        <v/>
      </c>
      <c r="P48" s="2" t="inlineStr">
        <is>
          <t>аура</t>
        </is>
      </c>
      <c r="Q48" s="2" t="inlineStr">
        <is>
          <t>Мерная сажень.</t>
        </is>
      </c>
      <c r="R48" s="2">
        <f>"Flat game UI rune icon, 256x256, centered on a dark slate (#1E2230) square tile. An outer "&amp;INDEX(Руны!$C$27:$C$30,MATCH("поддержка",Руны!$A$27:$A$30,0))&amp;", thick carved "&amp;INDEX(Руны!$F$2:$F$10,MATCH(E48,Руны!$A$2:$A$10,0))&amp;" stroke"&amp;INDEX(Руны!$G$2:$G$10,MATCH(E48,Руны!$A$2:$A$10,0))&amp;" and a "&amp;INDEX(Руны!$I$2:$I$10,MATCH(E48,Руны!$A$2:$A$10,0))&amp;" around its outside. Inside: "&amp;INDEX(Руны!$C$14:$C$23,MATCH(P48,Руны!$A$14:$A$23,0))&amp;". Chiseled straight line ends, flat vector, no perspective, faint outer glow."</f>
        <v/>
      </c>
      <c r="S48" s="2" t="inlineStr">
        <is>
          <t>[Д] черновик</t>
        </is>
      </c>
    </row>
    <row r="49">
      <c r="A49" s="2" t="inlineStr">
        <is>
          <t>Горн</t>
        </is>
      </c>
      <c r="B49" s="2" t="inlineStr">
        <is>
          <t>Поддержка</t>
        </is>
      </c>
      <c r="C49" s="2" t="inlineStr">
        <is>
          <t>Горнило</t>
        </is>
      </c>
      <c r="D49" s="2" t="inlineStr">
        <is>
          <t>Сварог</t>
        </is>
      </c>
      <c r="E49" s="2" t="inlineStr">
        <is>
          <t>Жар</t>
        </is>
      </c>
      <c r="F49" s="2" t="inlineStr">
        <is>
          <t>механика</t>
        </is>
      </c>
      <c r="G49" s="12" t="n">
        <v>1</v>
      </c>
      <c r="H49" s="13" t="n">
        <v>0</v>
      </c>
      <c r="I49" s="13" t="n">
        <v>0</v>
      </c>
      <c r="J49" s="2" t="inlineStr">
        <is>
          <t>Урон огнём от навыка +1% за каждую турель рядом (до 5).</t>
        </is>
      </c>
      <c r="K49" s="2" t="inlineStr">
        <is>
          <t>удар|выстрел|чары</t>
        </is>
      </c>
      <c r="L49" s="2" t="inlineStr">
        <is>
          <t>—</t>
        </is>
      </c>
      <c r="M49" s="14">
        <f>G49*(1+H49)</f>
        <v/>
      </c>
      <c r="N49" s="14">
        <f>IF(1+I49&gt;0,M49/(1+I49),"за здоровье")</f>
        <v/>
      </c>
      <c r="O49" s="2">
        <f>SUMPRODUCT(--ISNUMBER(SEARCH(Параметры!$G$2:$G$113,K49)))</f>
        <v/>
      </c>
      <c r="P49" s="2" t="inlineStr">
        <is>
          <t>площадь</t>
        </is>
      </c>
      <c r="Q49" s="2" t="inlineStr">
        <is>
          <t>Жерло горна.</t>
        </is>
      </c>
      <c r="R49" s="2">
        <f>"Flat game UI rune icon, 256x256, centered on a dark slate (#1E2230) square tile. An outer "&amp;INDEX(Руны!$C$27:$C$30,MATCH("поддержка",Руны!$A$27:$A$30,0))&amp;", thick carved "&amp;INDEX(Руны!$F$2:$F$10,MATCH(E49,Руны!$A$2:$A$10,0))&amp;" stroke"&amp;INDEX(Руны!$G$2:$G$10,MATCH(E49,Руны!$A$2:$A$10,0))&amp;" and a "&amp;INDEX(Руны!$I$2:$I$10,MATCH(E49,Руны!$A$2:$A$10,0))&amp;" around its outside. Inside: "&amp;INDEX(Руны!$C$14:$C$23,MATCH(P49,Руны!$A$14:$A$23,0))&amp;". Chiseled straight line ends, flat vector, no perspective, faint outer glow."</f>
        <v/>
      </c>
      <c r="S49" s="2" t="inlineStr">
        <is>
          <t>[Д] черновик</t>
        </is>
      </c>
    </row>
    <row r="50">
      <c r="A50" s="2" t="inlineStr">
        <is>
          <t>Сила</t>
        </is>
      </c>
      <c r="B50" s="2" t="inlineStr">
        <is>
          <t>Поддержка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Общая</t>
        </is>
      </c>
      <c r="F50" s="2" t="inlineStr">
        <is>
          <t>множитель</t>
        </is>
      </c>
      <c r="G50" s="12" t="n">
        <v>1.25</v>
      </c>
      <c r="H50" s="13" t="n">
        <v>0</v>
      </c>
      <c r="I50" s="13" t="n">
        <v>0.15</v>
      </c>
      <c r="J50" s="2" t="inlineStr">
        <is>
          <t>Больше урона.</t>
        </is>
      </c>
      <c r="K50" s="2" t="inlineStr">
        <is>
          <t>удар|выстрел|чары</t>
        </is>
      </c>
      <c r="L50" s="2" t="inlineStr">
        <is>
          <t>—</t>
        </is>
      </c>
      <c r="M50" s="14">
        <f>G50*(1+H50)</f>
        <v/>
      </c>
      <c r="N50" s="14">
        <f>IF(1+I50&gt;0,M50/(1+I50),"за здоровье")</f>
        <v/>
      </c>
      <c r="O50" s="2">
        <f>SUMPRODUCT(--ISNUMBER(SEARCH(Параметры!$G$2:$G$113,K50)))</f>
        <v/>
      </c>
      <c r="P50" s="2" t="inlineStr">
        <is>
          <t>площадь</t>
        </is>
      </c>
      <c r="Q50" s="2" t="inlineStr">
        <is>
          <t>Сжатый кулак.</t>
        </is>
      </c>
      <c r="R50" s="2">
        <f>"Flat game UI rune icon, 256x256, centered on a dark slate (#1E2230) square tile. An outer "&amp;INDEX(Руны!$C$27:$C$30,MATCH("поддержка",Руны!$A$27:$A$30,0))&amp;", thick carved "&amp;INDEX(Руны!$F$2:$F$10,MATCH(E50,Руны!$A$2:$A$10,0))&amp;" stroke"&amp;INDEX(Руны!$G$2:$G$10,MATCH(E50,Руны!$A$2:$A$10,0))&amp;" and a "&amp;INDEX(Руны!$I$2:$I$10,MATCH(E50,Руны!$A$2:$A$10,0))&amp;" around its outside. Inside: "&amp;INDEX(Руны!$C$14:$C$23,MATCH(P50,Руны!$A$14:$A$23,0))&amp;". Chiseled straight line ends, flat vector, no perspective, faint outer glow."</f>
        <v/>
      </c>
      <c r="S50" s="2" t="inlineStr">
        <is>
          <t>[Д] черновик</t>
        </is>
      </c>
    </row>
    <row r="51">
      <c r="A51" s="2" t="inlineStr">
        <is>
          <t>Точность</t>
        </is>
      </c>
      <c r="B51" s="2" t="inlineStr">
        <is>
          <t>Поддержка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Общая</t>
        </is>
      </c>
      <c r="F51" s="2" t="inlineStr">
        <is>
          <t>множитель</t>
        </is>
      </c>
      <c r="G51" s="12" t="n">
        <v>1.15</v>
      </c>
      <c r="H51" s="13" t="n">
        <v>0</v>
      </c>
      <c r="I51" s="13" t="n">
        <v>0</v>
      </c>
      <c r="J51" s="2" t="inlineStr">
        <is>
          <t>Больше урона по слабым точкам.</t>
        </is>
      </c>
      <c r="K51" s="2" t="inlineStr">
        <is>
          <t>выстрел</t>
        </is>
      </c>
      <c r="L51" s="2" t="inlineStr">
        <is>
          <t>—</t>
        </is>
      </c>
      <c r="M51" s="14">
        <f>G51*(1+H51)</f>
        <v/>
      </c>
      <c r="N51" s="14">
        <f>IF(1+I51&gt;0,M51/(1+I51),"за здоровье")</f>
        <v/>
      </c>
      <c r="O51" s="2">
        <f>SUMPRODUCT(--ISNUMBER(SEARCH(Параметры!$G$2:$G$113,K51)))</f>
        <v/>
      </c>
      <c r="P51" s="2" t="inlineStr">
        <is>
          <t>снаряд</t>
        </is>
      </c>
      <c r="Q51" s="2" t="inlineStr">
        <is>
          <t>Зарубка на прицеле.</t>
        </is>
      </c>
      <c r="R51" s="2">
        <f>"Flat game UI rune icon, 256x256, centered on a dark slate (#1E2230) square tile. An outer "&amp;INDEX(Руны!$C$27:$C$30,MATCH("поддержка",Руны!$A$27:$A$30,0))&amp;", thick carved "&amp;INDEX(Руны!$F$2:$F$10,MATCH(E51,Руны!$A$2:$A$10,0))&amp;" stroke"&amp;INDEX(Руны!$G$2:$G$10,MATCH(E51,Руны!$A$2:$A$10,0))&amp;" and a "&amp;INDEX(Руны!$I$2:$I$10,MATCH(E51,Руны!$A$2:$A$10,0))&amp;" around its outside. Inside: "&amp;INDEX(Руны!$C$14:$C$23,MATCH(P51,Руны!$A$14:$A$23,0))&amp;". Chiseled straight line ends, flat vector, no perspective, faint outer glow."</f>
        <v/>
      </c>
      <c r="S51" s="2" t="inlineStr">
        <is>
          <t>[Д] черновик</t>
        </is>
      </c>
    </row>
    <row r="52">
      <c r="A52" s="2" t="inlineStr">
        <is>
          <t>Ширина</t>
        </is>
      </c>
      <c r="B52" s="2" t="inlineStr">
        <is>
          <t>Поддержка</t>
        </is>
      </c>
      <c r="C52" s="2" t="inlineStr">
        <is>
          <t>—</t>
        </is>
      </c>
      <c r="D52" s="2" t="inlineStr">
        <is>
          <t>—</t>
        </is>
      </c>
      <c r="E52" s="2" t="inlineStr">
        <is>
          <t>Общая</t>
        </is>
      </c>
      <c r="F52" s="2" t="inlineStr">
        <is>
          <t>механика</t>
        </is>
      </c>
      <c r="G52" s="12" t="n">
        <v>1</v>
      </c>
      <c r="H52" s="13" t="n">
        <v>-0.1</v>
      </c>
      <c r="I52" s="13" t="n">
        <v>0</v>
      </c>
      <c r="J52" s="2" t="inlineStr">
        <is>
          <t>+30% радиуса.</t>
        </is>
      </c>
      <c r="K52" s="2" t="inlineStr">
        <is>
          <t>удар|чары</t>
        </is>
      </c>
      <c r="L52" s="2" t="inlineStr">
        <is>
          <t>только площадь/аура</t>
        </is>
      </c>
      <c r="M52" s="14">
        <f>G52*(1+H52)</f>
        <v/>
      </c>
      <c r="N52" s="14">
        <f>IF(1+I52&gt;0,M52/(1+I52),"за здоровье")</f>
        <v/>
      </c>
      <c r="O52" s="2">
        <f>SUMPRODUCT(--ISNUMBER(SEARCH(Параметры!$G$2:$G$113,K52)))</f>
        <v/>
      </c>
      <c r="P52" s="2" t="inlineStr">
        <is>
          <t>площадь</t>
        </is>
      </c>
      <c r="Q52" s="2" t="inlineStr">
        <is>
          <t>Расходящиеся круги.</t>
        </is>
      </c>
      <c r="R52" s="2">
        <f>"Flat game UI rune icon, 256x256, centered on a dark slate (#1E2230) square tile. An outer "&amp;INDEX(Руны!$C$27:$C$30,MATCH("поддержка",Руны!$A$27:$A$30,0))&amp;", thick carved "&amp;INDEX(Руны!$F$2:$F$10,MATCH(E52,Руны!$A$2:$A$10,0))&amp;" stroke"&amp;INDEX(Руны!$G$2:$G$10,MATCH(E52,Руны!$A$2:$A$10,0))&amp;" and a "&amp;INDEX(Руны!$I$2:$I$10,MATCH(E52,Руны!$A$2:$A$10,0))&amp;" around its outside. Inside: "&amp;INDEX(Руны!$C$14:$C$23,MATCH(P52,Руны!$A$14:$A$23,0))&amp;". Chiseled straight line ends, flat vector, no perspective, faint outer glow."</f>
        <v/>
      </c>
      <c r="S52" s="2" t="inlineStr">
        <is>
          <t>[Д] черновик</t>
        </is>
      </c>
    </row>
    <row r="53">
      <c r="A53" s="2" t="inlineStr">
        <is>
          <t>Быстрота</t>
        </is>
      </c>
      <c r="B53" s="2" t="inlineStr">
        <is>
          <t>Поддержка</t>
        </is>
      </c>
      <c r="C53" s="2" t="inlineStr">
        <is>
          <t>—</t>
        </is>
      </c>
      <c r="D53" s="2" t="inlineStr">
        <is>
          <t>—</t>
        </is>
      </c>
      <c r="E53" s="2" t="inlineStr">
        <is>
          <t>Общая</t>
        </is>
      </c>
      <c r="F53" s="2" t="inlineStr">
        <is>
          <t>механика</t>
        </is>
      </c>
      <c r="G53" s="12" t="n">
        <v>1</v>
      </c>
      <c r="H53" s="13" t="n">
        <v>-0.1</v>
      </c>
      <c r="I53" s="13" t="n">
        <v>0</v>
      </c>
      <c r="J53" s="2" t="inlineStr">
        <is>
          <t>−25% отката.</t>
        </is>
      </c>
      <c r="K53" s="2" t="inlineStr">
        <is>
          <t>удар|выстрел|чары</t>
        </is>
      </c>
      <c r="L53" s="2" t="inlineStr">
        <is>
          <t>—</t>
        </is>
      </c>
      <c r="M53" s="14">
        <f>G53*(1+H53)</f>
        <v/>
      </c>
      <c r="N53" s="14">
        <f>IF(1+I53&gt;0,M53/(1+I53),"за здоровье")</f>
        <v/>
      </c>
      <c r="O53" s="2">
        <f>SUMPRODUCT(--ISNUMBER(SEARCH(Параметры!$G$2:$G$113,K53)))</f>
        <v/>
      </c>
      <c r="P53" s="2" t="inlineStr">
        <is>
          <t>рывок</t>
        </is>
      </c>
      <c r="Q53" s="2" t="inlineStr">
        <is>
          <t>Песочные часы.</t>
        </is>
      </c>
      <c r="R53" s="2">
        <f>"Flat game UI rune icon, 256x256, centered on a dark slate (#1E2230) square tile. An outer "&amp;INDEX(Руны!$C$27:$C$30,MATCH("поддержка",Руны!$A$27:$A$30,0))&amp;", thick carved "&amp;INDEX(Руны!$F$2:$F$10,MATCH(E53,Руны!$A$2:$A$10,0))&amp;" stroke"&amp;INDEX(Руны!$G$2:$G$10,MATCH(E53,Руны!$A$2:$A$10,0))&amp;" and a "&amp;INDEX(Руны!$I$2:$I$10,MATCH(E53,Руны!$A$2:$A$10,0))&amp;" around its outside. Inside: "&amp;INDEX(Руны!$C$14:$C$23,MATCH(P53,Руны!$A$14:$A$23,0))&amp;". Chiseled straight line ends, flat vector, no perspective, faint outer glow."</f>
        <v/>
      </c>
      <c r="S53" s="2" t="inlineStr">
        <is>
          <t>[Д] черновик</t>
        </is>
      </c>
    </row>
    <row r="54">
      <c r="A54" s="2" t="inlineStr">
        <is>
          <t>Бережливость</t>
        </is>
      </c>
      <c r="B54" s="2" t="inlineStr">
        <is>
          <t>Поддержка</t>
        </is>
      </c>
      <c r="C54" s="2" t="inlineStr">
        <is>
          <t>—</t>
        </is>
      </c>
      <c r="D54" s="2" t="inlineStr">
        <is>
          <t>—</t>
        </is>
      </c>
      <c r="E54" s="2" t="inlineStr">
        <is>
          <t>Общая</t>
        </is>
      </c>
      <c r="F54" s="2" t="inlineStr">
        <is>
          <t>механика</t>
        </is>
      </c>
      <c r="G54" s="12" t="n">
        <v>1</v>
      </c>
      <c r="H54" s="13" t="n">
        <v>-0.15</v>
      </c>
      <c r="I54" s="13" t="n">
        <v>-0.25</v>
      </c>
      <c r="J54" s="2" t="inlineStr">
        <is>
          <t>−25% цены Яри.</t>
        </is>
      </c>
      <c r="K54" s="2" t="inlineStr">
        <is>
          <t>удар|выстрел|чары</t>
        </is>
      </c>
      <c r="L54" s="2" t="inlineStr">
        <is>
          <t>—</t>
        </is>
      </c>
      <c r="M54" s="14">
        <f>G54*(1+H54)</f>
        <v/>
      </c>
      <c r="N54" s="14">
        <f>IF(1+I54&gt;0,M54/(1+I54),"за здоровье")</f>
        <v/>
      </c>
      <c r="O54" s="2">
        <f>SUMPRODUCT(--ISNUMBER(SEARCH(Параметры!$G$2:$G$113,K54)))</f>
        <v/>
      </c>
      <c r="P54" s="2" t="inlineStr">
        <is>
          <t>лечение</t>
        </is>
      </c>
      <c r="Q54" s="2" t="inlineStr">
        <is>
          <t>Полная пригоршня.</t>
        </is>
      </c>
      <c r="R54" s="2">
        <f>"Flat game UI rune icon, 256x256, centered on a dark slate (#1E2230) square tile. An outer "&amp;INDEX(Руны!$C$27:$C$30,MATCH("поддержка",Руны!$A$27:$A$30,0))&amp;", thick carved "&amp;INDEX(Руны!$F$2:$F$10,MATCH(E54,Руны!$A$2:$A$10,0))&amp;" stroke"&amp;INDEX(Руны!$G$2:$G$10,MATCH(E54,Руны!$A$2:$A$10,0))&amp;" and a "&amp;INDEX(Руны!$I$2:$I$10,MATCH(E54,Руны!$A$2:$A$10,0))&amp;" around its outside. Inside: "&amp;INDEX(Руны!$C$14:$C$23,MATCH(P54,Руны!$A$14:$A$23,0))&amp;". Chiseled straight line ends, flat vector, no perspective, faint outer glow."</f>
        <v/>
      </c>
      <c r="S54" s="2" t="inlineStr">
        <is>
          <t>[Д] черновик</t>
        </is>
      </c>
    </row>
    <row r="55">
      <c r="A55" s="2" t="inlineStr">
        <is>
          <t>Долгота</t>
        </is>
      </c>
      <c r="B55" s="2" t="inlineStr">
        <is>
          <t>Поддержка</t>
        </is>
      </c>
      <c r="C55" s="2" t="inlineStr">
        <is>
          <t>—</t>
        </is>
      </c>
      <c r="D55" s="2" t="inlineStr">
        <is>
          <t>—</t>
        </is>
      </c>
      <c r="E55" s="2" t="inlineStr">
        <is>
          <t>Общая</t>
        </is>
      </c>
      <c r="F55" s="2" t="inlineStr">
        <is>
          <t>механика</t>
        </is>
      </c>
      <c r="G55" s="12" t="n">
        <v>1</v>
      </c>
      <c r="H55" s="13" t="n">
        <v>0</v>
      </c>
      <c r="I55" s="13" t="n">
        <v>0.1</v>
      </c>
      <c r="J55" s="2" t="inlineStr">
        <is>
          <t>+30% длительности.</t>
        </is>
      </c>
      <c r="K55" s="2" t="inlineStr">
        <is>
          <t>чары</t>
        </is>
      </c>
      <c r="L55" s="2" t="inlineStr">
        <is>
          <t>—</t>
        </is>
      </c>
      <c r="M55" s="14">
        <f>G55*(1+H55)</f>
        <v/>
      </c>
      <c r="N55" s="14">
        <f>IF(1+I55&gt;0,M55/(1+I55),"за здоровье")</f>
        <v/>
      </c>
      <c r="O55" s="2">
        <f>SUMPRODUCT(--ISNUMBER(SEARCH(Параметры!$G$2:$G$113,K55)))</f>
        <v/>
      </c>
      <c r="P55" s="2" t="inlineStr">
        <is>
          <t>аура</t>
        </is>
      </c>
      <c r="Q55" s="2" t="inlineStr">
        <is>
          <t>Длинная тень.</t>
        </is>
      </c>
      <c r="R55" s="2">
        <f>"Flat game UI rune icon, 256x256, centered on a dark slate (#1E2230) square tile. An outer "&amp;INDEX(Руны!$C$27:$C$30,MATCH("поддержка",Руны!$A$27:$A$30,0))&amp;", thick carved "&amp;INDEX(Руны!$F$2:$F$10,MATCH(E55,Руны!$A$2:$A$10,0))&amp;" stroke"&amp;INDEX(Руны!$G$2:$G$10,MATCH(E55,Руны!$A$2:$A$10,0))&amp;" and a "&amp;INDEX(Руны!$I$2:$I$10,MATCH(E55,Руны!$A$2:$A$10,0))&amp;" around its outside. Inside: "&amp;INDEX(Руны!$C$14:$C$23,MATCH(P55,Руны!$A$14:$A$23,0))&amp;". Chiseled straight line ends, flat vector, no perspective, faint outer glow."</f>
        <v/>
      </c>
      <c r="S55" s="2" t="inlineStr">
        <is>
          <t>[Д] черновик</t>
        </is>
      </c>
    </row>
    <row r="56">
      <c r="A56" s="2" t="inlineStr">
        <is>
          <t>Пробой</t>
        </is>
      </c>
      <c r="B56" s="2" t="inlineStr">
        <is>
          <t>Поддержка</t>
        </is>
      </c>
      <c r="C56" s="2" t="inlineStr">
        <is>
          <t>—</t>
        </is>
      </c>
      <c r="D56" s="2" t="inlineStr">
        <is>
          <t>—</t>
        </is>
      </c>
      <c r="E56" s="2" t="inlineStr">
        <is>
          <t>Общая</t>
        </is>
      </c>
      <c r="F56" s="2" t="inlineStr">
        <is>
          <t>механика</t>
        </is>
      </c>
      <c r="G56" s="12" t="n">
        <v>1</v>
      </c>
      <c r="H56" s="13" t="n">
        <v>-0.1</v>
      </c>
      <c r="I56" s="13" t="n">
        <v>0</v>
      </c>
      <c r="J56" s="2" t="inlineStr">
        <is>
          <t>Снаряды пробивают 1 врага.</t>
        </is>
      </c>
      <c r="K56" s="2" t="inlineStr">
        <is>
          <t>выстрел|чары</t>
        </is>
      </c>
      <c r="L56" s="2" t="inlineStr">
        <is>
          <t>только снаряд</t>
        </is>
      </c>
      <c r="M56" s="14">
        <f>G56*(1+H56)</f>
        <v/>
      </c>
      <c r="N56" s="14">
        <f>IF(1+I56&gt;0,M56/(1+I56),"за здоровье")</f>
        <v/>
      </c>
      <c r="O56" s="2">
        <f>SUMPRODUCT(--ISNUMBER(SEARCH(Параметры!$G$2:$G$113,K56)))</f>
        <v/>
      </c>
      <c r="P56" s="2" t="inlineStr">
        <is>
          <t>снаряд</t>
        </is>
      </c>
      <c r="Q56" s="2" t="inlineStr">
        <is>
          <t>Пробитая доска.</t>
        </is>
      </c>
      <c r="R56" s="2">
        <f>"Flat game UI rune icon, 256x256, centered on a dark slate (#1E2230) square tile. An outer "&amp;INDEX(Руны!$C$27:$C$30,MATCH("поддержка",Руны!$A$27:$A$30,0))&amp;", thick carved "&amp;INDEX(Руны!$F$2:$F$10,MATCH(E56,Руны!$A$2:$A$10,0))&amp;" stroke"&amp;INDEX(Руны!$G$2:$G$10,MATCH(E56,Руны!$A$2:$A$10,0))&amp;" and a "&amp;INDEX(Руны!$I$2:$I$10,MATCH(E56,Руны!$A$2:$A$10,0))&amp;" around its outside. Inside: "&amp;INDEX(Руны!$C$14:$C$23,MATCH(P56,Руны!$A$14:$A$23,0))&amp;". Chiseled straight line ends, flat vector, no perspective, faint outer glow."</f>
        <v/>
      </c>
      <c r="S56" s="2" t="inlineStr">
        <is>
          <t>[Д] черновик</t>
        </is>
      </c>
    </row>
    <row r="57">
      <c r="A57" s="2" t="inlineStr">
        <is>
          <t>Встряска</t>
        </is>
      </c>
      <c r="B57" s="2" t="inlineStr">
        <is>
          <t>Поддержка</t>
        </is>
      </c>
      <c r="C57" s="2" t="inlineStr">
        <is>
          <t>—</t>
        </is>
      </c>
      <c r="D57" s="2" t="inlineStr">
        <is>
          <t>—</t>
        </is>
      </c>
      <c r="E57" s="2" t="inlineStr">
        <is>
          <t>Общая</t>
        </is>
      </c>
      <c r="F57" s="2" t="inlineStr">
        <is>
          <t>механика</t>
        </is>
      </c>
      <c r="G57" s="12" t="n">
        <v>1</v>
      </c>
      <c r="H57" s="13" t="n">
        <v>-0.1</v>
      </c>
      <c r="I57" s="13" t="n">
        <v>0</v>
      </c>
      <c r="J57" s="2" t="inlineStr">
        <is>
          <t>+0,3 с оглушения.</t>
        </is>
      </c>
      <c r="K57" s="2" t="inlineStr">
        <is>
          <t>удар|чары</t>
        </is>
      </c>
      <c r="L57" s="2" t="inlineStr">
        <is>
          <t>—</t>
        </is>
      </c>
      <c r="M57" s="14">
        <f>G57*(1+H57)</f>
        <v/>
      </c>
      <c r="N57" s="14">
        <f>IF(1+I57&gt;0,M57/(1+I57),"за здоровье")</f>
        <v/>
      </c>
      <c r="O57" s="2">
        <f>SUMPRODUCT(--ISNUMBER(SEARCH(Параметры!$G$2:$G$113,K57)))</f>
        <v/>
      </c>
      <c r="P57" s="2" t="inlineStr">
        <is>
          <t>обездвиживание</t>
        </is>
      </c>
      <c r="Q57" s="2" t="inlineStr">
        <is>
          <t>Трещина в щите.</t>
        </is>
      </c>
      <c r="R57" s="2">
        <f>"Flat game UI rune icon, 256x256, centered on a dark slate (#1E2230) square tile. An outer "&amp;INDEX(Руны!$C$27:$C$30,MATCH("поддержка",Руны!$A$27:$A$30,0))&amp;", thick carved "&amp;INDEX(Руны!$F$2:$F$10,MATCH(E57,Руны!$A$2:$A$10,0))&amp;" stroke"&amp;INDEX(Руны!$G$2:$G$10,MATCH(E57,Руны!$A$2:$A$10,0))&amp;" and a "&amp;INDEX(Руны!$I$2:$I$10,MATCH(E57,Руны!$A$2:$A$10,0))&amp;" around its outside. Inside: "&amp;INDEX(Руны!$C$14:$C$23,MATCH(P57,Руны!$A$14:$A$23,0))&amp;". Chiseled straight line ends, flat vector, no perspective, faint outer glow."</f>
        <v/>
      </c>
      <c r="S57" s="2" t="inlineStr">
        <is>
          <t>[Д] черновик</t>
        </is>
      </c>
    </row>
  </sheetData>
  <autoFilter ref="A1:S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40" customWidth="1" min="3" max="3"/>
    <col width="11" customWidth="1" min="4" max="4"/>
    <col width="7" customWidth="1" min="5" max="5"/>
    <col width="12" customWidth="1" min="6" max="6"/>
    <col width="60" customWidth="1" min="7" max="7"/>
  </cols>
  <sheetData>
    <row r="1">
      <c r="A1" s="4" t="inlineStr">
        <is>
          <t>Название</t>
        </is>
      </c>
      <c r="B1" s="4" t="inlineStr">
        <is>
          <t>Ранг</t>
        </is>
      </c>
      <c r="C1" s="4" t="inlineStr">
        <is>
          <t>Теги</t>
        </is>
      </c>
      <c r="D1" s="4" t="inlineStr">
        <is>
          <t>Биом</t>
        </is>
      </c>
      <c r="E1" s="4" t="inlineStr">
        <is>
          <t>Ярь</t>
        </is>
      </c>
      <c r="F1" s="4" t="inlineStr">
        <is>
          <t>Урон/с по откату</t>
        </is>
      </c>
      <c r="G1" s="4" t="inlineStr">
        <is>
          <t>Описание</t>
        </is>
      </c>
    </row>
    <row r="2">
      <c r="A2" s="2" t="inlineStr">
        <is>
          <t>Предгрозье</t>
        </is>
      </c>
      <c r="B2" s="9">
        <f>INDEX(Параметры!$I$2:$I$113,MATCH($A2,Параметры!$A$2:$A$113,0))</f>
        <v/>
      </c>
      <c r="C2" s="9">
        <f>INDEX(Параметры!$M$2:$M$113,MATCH($A2,Параметры!$A$2:$A$113,0))</f>
        <v/>
      </c>
      <c r="D2" s="9">
        <f>INDEX(Параметры!$C$2:$C$113,MATCH($A2,Параметры!$A$2:$A$113,0))</f>
        <v/>
      </c>
      <c r="E2" s="9">
        <f>INDEX(Параметры!$AA$2:$AA$113,MATCH($A2,Параметры!$A$2:$A$113,0))</f>
        <v/>
      </c>
      <c r="F2" s="10">
        <f>INDEX(Параметры!$AC$2:$AC$113,MATCH($A2,Параметры!$A$2:$A$113,0))</f>
        <v/>
      </c>
      <c r="G2" s="9">
        <f>INDEX(Параметры!$AF$2:$AF$113,MATCH($A2,Параметры!$A$2:$A$113,0))</f>
        <v/>
      </c>
    </row>
    <row r="3">
      <c r="A3" s="2" t="inlineStr">
        <is>
          <t>Омутная тишь</t>
        </is>
      </c>
      <c r="B3" s="9">
        <f>INDEX(Параметры!$I$2:$I$113,MATCH($A3,Параметры!$A$2:$A$113,0))</f>
        <v/>
      </c>
      <c r="C3" s="9">
        <f>INDEX(Параметры!$M$2:$M$113,MATCH($A3,Параметры!$A$2:$A$113,0))</f>
        <v/>
      </c>
      <c r="D3" s="9">
        <f>INDEX(Параметры!$C$2:$C$113,MATCH($A3,Параметры!$A$2:$A$113,0))</f>
        <v/>
      </c>
      <c r="E3" s="9">
        <f>INDEX(Параметры!$AA$2:$AA$113,MATCH($A3,Параметры!$A$2:$A$113,0))</f>
        <v/>
      </c>
      <c r="F3" s="10">
        <f>INDEX(Параметры!$AC$2:$AC$113,MATCH($A3,Параметры!$A$2:$A$113,0))</f>
        <v/>
      </c>
      <c r="G3" s="9">
        <f>INDEX(Параметры!$AF$2:$AF$113,MATCH($A3,Параметры!$A$2:$A$113,0))</f>
        <v/>
      </c>
    </row>
    <row r="4">
      <c r="A4" s="2" t="inlineStr">
        <is>
          <t>Купальский круг</t>
        </is>
      </c>
      <c r="B4" s="9">
        <f>INDEX(Параметры!$I$2:$I$113,MATCH($A4,Параметры!$A$2:$A$113,0))</f>
        <v/>
      </c>
      <c r="C4" s="9">
        <f>INDEX(Параметры!$M$2:$M$113,MATCH($A4,Параметры!$A$2:$A$113,0))</f>
        <v/>
      </c>
      <c r="D4" s="9">
        <f>INDEX(Параметры!$C$2:$C$113,MATCH($A4,Параметры!$A$2:$A$113,0))</f>
        <v/>
      </c>
      <c r="E4" s="9">
        <f>INDEX(Параметры!$AA$2:$AA$113,MATCH($A4,Параметры!$A$2:$A$113,0))</f>
        <v/>
      </c>
      <c r="F4" s="10">
        <f>INDEX(Параметры!$AC$2:$AC$113,MATCH($A4,Параметры!$A$2:$A$113,0))</f>
        <v/>
      </c>
      <c r="G4" s="9">
        <f>INDEX(Параметры!$AF$2:$AF$113,MATCH($A4,Параметры!$A$2:$A$113,0))</f>
        <v/>
      </c>
    </row>
    <row r="5">
      <c r="A5" s="2" t="inlineStr">
        <is>
          <t>Суд над пиром</t>
        </is>
      </c>
      <c r="B5" s="9">
        <f>INDEX(Параметры!$I$2:$I$113,MATCH($A5,Параметры!$A$2:$A$113,0))</f>
        <v/>
      </c>
      <c r="C5" s="9">
        <f>INDEX(Параметры!$M$2:$M$113,MATCH($A5,Параметры!$A$2:$A$113,0))</f>
        <v/>
      </c>
      <c r="D5" s="9">
        <f>INDEX(Параметры!$C$2:$C$113,MATCH($A5,Параметры!$A$2:$A$113,0))</f>
        <v/>
      </c>
      <c r="E5" s="9">
        <f>INDEX(Параметры!$AA$2:$AA$113,MATCH($A5,Параметры!$A$2:$A$113,0))</f>
        <v/>
      </c>
      <c r="F5" s="10">
        <f>INDEX(Параметры!$AC$2:$AC$113,MATCH($A5,Параметры!$A$2:$A$113,0))</f>
        <v/>
      </c>
      <c r="G5" s="9">
        <f>INDEX(Параметры!$AF$2:$AF$113,MATCH($A5,Параметры!$A$2:$A$113,0))</f>
        <v/>
      </c>
    </row>
    <row r="6">
      <c r="A6" s="2" t="inlineStr">
        <is>
          <t>Полдень</t>
        </is>
      </c>
      <c r="B6" s="9">
        <f>INDEX(Параметры!$I$2:$I$113,MATCH($A6,Параметры!$A$2:$A$113,0))</f>
        <v/>
      </c>
      <c r="C6" s="9">
        <f>INDEX(Параметры!$M$2:$M$113,MATCH($A6,Параметры!$A$2:$A$113,0))</f>
        <v/>
      </c>
      <c r="D6" s="9">
        <f>INDEX(Параметры!$C$2:$C$113,MATCH($A6,Параметры!$A$2:$A$113,0))</f>
        <v/>
      </c>
      <c r="E6" s="9">
        <f>INDEX(Параметры!$AA$2:$AA$113,MATCH($A6,Параметры!$A$2:$A$113,0))</f>
        <v/>
      </c>
      <c r="F6" s="10">
        <f>INDEX(Параметры!$AC$2:$AC$113,MATCH($A6,Параметры!$A$2:$A$113,0))</f>
        <v/>
      </c>
      <c r="G6" s="9">
        <f>INDEX(Параметры!$AF$2:$AF$113,MATCH($A6,Параметры!$A$2:$A$113,0))</f>
        <v/>
      </c>
    </row>
    <row r="7">
      <c r="A7" s="2" t="inlineStr">
        <is>
          <t>Куда</t>
        </is>
      </c>
      <c r="B7" s="9">
        <f>INDEX(Параметры!$I$2:$I$113,MATCH($A7,Параметры!$A$2:$A$113,0))</f>
        <v/>
      </c>
      <c r="C7" s="9">
        <f>INDEX(Параметры!$M$2:$M$113,MATCH($A7,Параметры!$A$2:$A$113,0))</f>
        <v/>
      </c>
      <c r="D7" s="9">
        <f>INDEX(Параметры!$C$2:$C$113,MATCH($A7,Параметры!$A$2:$A$113,0))</f>
        <v/>
      </c>
      <c r="E7" s="9">
        <f>INDEX(Параметры!$AA$2:$AA$113,MATCH($A7,Параметры!$A$2:$A$113,0))</f>
        <v/>
      </c>
      <c r="F7" s="10">
        <f>INDEX(Параметры!$AC$2:$AC$113,MATCH($A7,Параметры!$A$2:$A$113,0))</f>
        <v/>
      </c>
      <c r="G7" s="9">
        <f>INDEX(Параметры!$AF$2:$AF$113,MATCH($A7,Параметры!$A$2:$A$113,0))</f>
        <v/>
      </c>
    </row>
    <row r="8">
      <c r="A8" s="2" t="inlineStr">
        <is>
          <t>Мерило</t>
        </is>
      </c>
      <c r="B8" s="9">
        <f>INDEX(Параметры!$I$2:$I$113,MATCH($A8,Параметры!$A$2:$A$113,0))</f>
        <v/>
      </c>
      <c r="C8" s="9">
        <f>INDEX(Параметры!$M$2:$M$113,MATCH($A8,Параметры!$A$2:$A$113,0))</f>
        <v/>
      </c>
      <c r="D8" s="9">
        <f>INDEX(Параметры!$C$2:$C$113,MATCH($A8,Параметры!$A$2:$A$113,0))</f>
        <v/>
      </c>
      <c r="E8" s="9">
        <f>INDEX(Параметры!$AA$2:$AA$113,MATCH($A8,Параметры!$A$2:$A$113,0))</f>
        <v/>
      </c>
      <c r="F8" s="10">
        <f>INDEX(Параметры!$AC$2:$AC$113,MATCH($A8,Параметры!$A$2:$A$113,0))</f>
        <v/>
      </c>
      <c r="G8" s="9">
        <f>INDEX(Параметры!$AF$2:$AF$113,MATCH($A8,Параметры!$A$2:$A$113,0))</f>
        <v/>
      </c>
    </row>
    <row r="10">
      <c r="A10" s="11" t="inlineStr">
        <is>
          <t>Аналог листа Spirit: навыки с глаголом «аура». Резерва Яри в GDD нет — аура тратит Ярь разово [Д].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40" customWidth="1" min="3" max="3"/>
    <col width="11" customWidth="1" min="4" max="4"/>
    <col width="7" customWidth="1" min="5" max="5"/>
    <col width="12" customWidth="1" min="6" max="6"/>
    <col width="60" customWidth="1" min="7" max="7"/>
  </cols>
  <sheetData>
    <row r="1">
      <c r="A1" s="4" t="inlineStr">
        <is>
          <t>Название</t>
        </is>
      </c>
      <c r="B1" s="4" t="inlineStr">
        <is>
          <t>Ранг</t>
        </is>
      </c>
      <c r="C1" s="4" t="inlineStr">
        <is>
          <t>Теги</t>
        </is>
      </c>
      <c r="D1" s="4" t="inlineStr">
        <is>
          <t>Биом</t>
        </is>
      </c>
      <c r="E1" s="4" t="inlineStr">
        <is>
          <t>Ярь</t>
        </is>
      </c>
      <c r="F1" s="4" t="inlineStr">
        <is>
          <t>Урон/с по откату</t>
        </is>
      </c>
      <c r="G1" s="4" t="inlineStr">
        <is>
          <t>Описание</t>
        </is>
      </c>
    </row>
    <row r="2">
      <c r="A2" s="2" t="inlineStr">
        <is>
          <t>Суд Перуна</t>
        </is>
      </c>
      <c r="B2" s="9">
        <f>INDEX(Параметры!$I$2:$I$113,MATCH($A2,Параметры!$A$2:$A$113,0))</f>
        <v/>
      </c>
      <c r="C2" s="9">
        <f>INDEX(Параметры!$M$2:$M$113,MATCH($A2,Параметры!$A$2:$A$113,0))</f>
        <v/>
      </c>
      <c r="D2" s="9">
        <f>INDEX(Параметры!$C$2:$C$113,MATCH($A2,Параметры!$A$2:$A$113,0))</f>
        <v/>
      </c>
      <c r="E2" s="9">
        <f>INDEX(Параметры!$AA$2:$AA$113,MATCH($A2,Параметры!$A$2:$A$113,0))</f>
        <v/>
      </c>
      <c r="F2" s="10">
        <f>INDEX(Параметры!$AC$2:$AC$113,MATCH($A2,Параметры!$A$2:$A$113,0))</f>
        <v/>
      </c>
      <c r="G2" s="9">
        <f>INDEX(Параметры!$AF$2:$AF$113,MATCH($A2,Параметры!$A$2:$A$113,0))</f>
        <v/>
      </c>
    </row>
    <row r="3">
      <c r="A3" s="2" t="inlineStr">
        <is>
          <t>Перунов след</t>
        </is>
      </c>
      <c r="B3" s="9">
        <f>INDEX(Параметры!$I$2:$I$113,MATCH($A3,Параметры!$A$2:$A$113,0))</f>
        <v/>
      </c>
      <c r="C3" s="9">
        <f>INDEX(Параметры!$M$2:$M$113,MATCH($A3,Параметры!$A$2:$A$113,0))</f>
        <v/>
      </c>
      <c r="D3" s="9">
        <f>INDEX(Параметры!$C$2:$C$113,MATCH($A3,Параметры!$A$2:$A$113,0))</f>
        <v/>
      </c>
      <c r="E3" s="9">
        <f>INDEX(Параметры!$AA$2:$AA$113,MATCH($A3,Параметры!$A$2:$A$113,0))</f>
        <v/>
      </c>
      <c r="F3" s="10">
        <f>INDEX(Параметры!$AC$2:$AC$113,MATCH($A3,Параметры!$A$2:$A$113,0))</f>
        <v/>
      </c>
      <c r="G3" s="9">
        <f>INDEX(Параметры!$AF$2:$AF$113,MATCH($A3,Параметры!$A$2:$A$113,0))</f>
        <v/>
      </c>
    </row>
    <row r="4">
      <c r="A4" s="2" t="inlineStr">
        <is>
          <t>Песня пастушонка</t>
        </is>
      </c>
      <c r="B4" s="9">
        <f>INDEX(Параметры!$I$2:$I$113,MATCH($A4,Параметры!$A$2:$A$113,0))</f>
        <v/>
      </c>
      <c r="C4" s="9">
        <f>INDEX(Параметры!$M$2:$M$113,MATCH($A4,Параметры!$A$2:$A$113,0))</f>
        <v/>
      </c>
      <c r="D4" s="9">
        <f>INDEX(Параметры!$C$2:$C$113,MATCH($A4,Параметры!$A$2:$A$113,0))</f>
        <v/>
      </c>
      <c r="E4" s="9">
        <f>INDEX(Параметры!$AA$2:$AA$113,MATCH($A4,Параметры!$A$2:$A$113,0))</f>
        <v/>
      </c>
      <c r="F4" s="10">
        <f>INDEX(Параметры!$AC$2:$AC$113,MATCH($A4,Параметры!$A$2:$A$113,0))</f>
        <v/>
      </c>
      <c r="G4" s="9">
        <f>INDEX(Параметры!$AF$2:$AF$113,MATCH($A4,Параметры!$A$2:$A$113,0))</f>
        <v/>
      </c>
    </row>
    <row r="5">
      <c r="A5" s="2" t="inlineStr">
        <is>
          <t>Велесово стадо</t>
        </is>
      </c>
      <c r="B5" s="9">
        <f>INDEX(Параметры!$I$2:$I$113,MATCH($A5,Параметры!$A$2:$A$113,0))</f>
        <v/>
      </c>
      <c r="C5" s="9">
        <f>INDEX(Параметры!$M$2:$M$113,MATCH($A5,Параметры!$A$2:$A$113,0))</f>
        <v/>
      </c>
      <c r="D5" s="9">
        <f>INDEX(Параметры!$C$2:$C$113,MATCH($A5,Параметры!$A$2:$A$113,0))</f>
        <v/>
      </c>
      <c r="E5" s="9">
        <f>INDEX(Параметры!$AA$2:$AA$113,MATCH($A5,Параметры!$A$2:$A$113,0))</f>
        <v/>
      </c>
      <c r="F5" s="10">
        <f>INDEX(Параметры!$AC$2:$AC$113,MATCH($A5,Параметры!$A$2:$A$113,0))</f>
        <v/>
      </c>
      <c r="G5" s="9">
        <f>INDEX(Параметры!$AF$2:$AF$113,MATCH($A5,Параметры!$A$2:$A$113,0))</f>
        <v/>
      </c>
    </row>
    <row r="6">
      <c r="A6" s="2" t="inlineStr">
        <is>
          <t>Прядильщицы</t>
        </is>
      </c>
      <c r="B6" s="9">
        <f>INDEX(Параметры!$I$2:$I$113,MATCH($A6,Параметры!$A$2:$A$113,0))</f>
        <v/>
      </c>
      <c r="C6" s="9">
        <f>INDEX(Параметры!$M$2:$M$113,MATCH($A6,Параметры!$A$2:$A$113,0))</f>
        <v/>
      </c>
      <c r="D6" s="9">
        <f>INDEX(Параметры!$C$2:$C$113,MATCH($A6,Параметры!$A$2:$A$113,0))</f>
        <v/>
      </c>
      <c r="E6" s="9">
        <f>INDEX(Параметры!$AA$2:$AA$113,MATCH($A6,Параметры!$A$2:$A$113,0))</f>
        <v/>
      </c>
      <c r="F6" s="10">
        <f>INDEX(Параметры!$AC$2:$AC$113,MATCH($A6,Параметры!$A$2:$A$113,0))</f>
        <v/>
      </c>
      <c r="G6" s="9">
        <f>INDEX(Параметры!$AF$2:$AF$113,MATCH($A6,Параметры!$A$2:$A$113,0))</f>
        <v/>
      </c>
    </row>
    <row r="7">
      <c r="A7" s="2" t="inlineStr">
        <is>
          <t>Нить Мокоши</t>
        </is>
      </c>
      <c r="B7" s="9">
        <f>INDEX(Параметры!$I$2:$I$113,MATCH($A7,Параметры!$A$2:$A$113,0))</f>
        <v/>
      </c>
      <c r="C7" s="9">
        <f>INDEX(Параметры!$M$2:$M$113,MATCH($A7,Параметры!$A$2:$A$113,0))</f>
        <v/>
      </c>
      <c r="D7" s="9">
        <f>INDEX(Параметры!$C$2:$C$113,MATCH($A7,Параметры!$A$2:$A$113,0))</f>
        <v/>
      </c>
      <c r="E7" s="9">
        <f>INDEX(Параметры!$AA$2:$AA$113,MATCH($A7,Параметры!$A$2:$A$113,0))</f>
        <v/>
      </c>
      <c r="F7" s="10">
        <f>INDEX(Параметры!$AC$2:$AC$113,MATCH($A7,Параметры!$A$2:$A$113,0))</f>
        <v/>
      </c>
      <c r="G7" s="9">
        <f>INDEX(Параметры!$AF$2:$AF$113,MATCH($A7,Параметры!$A$2:$A$113,0))</f>
        <v/>
      </c>
    </row>
    <row r="8">
      <c r="A8" s="2" t="inlineStr">
        <is>
          <t>Дождаться</t>
        </is>
      </c>
      <c r="B8" s="9">
        <f>INDEX(Параметры!$I$2:$I$113,MATCH($A8,Параметры!$A$2:$A$113,0))</f>
        <v/>
      </c>
      <c r="C8" s="9">
        <f>INDEX(Параметры!$M$2:$M$113,MATCH($A8,Параметры!$A$2:$A$113,0))</f>
        <v/>
      </c>
      <c r="D8" s="9">
        <f>INDEX(Параметры!$C$2:$C$113,MATCH($A8,Параметры!$A$2:$A$113,0))</f>
        <v/>
      </c>
      <c r="E8" s="9">
        <f>INDEX(Параметры!$AA$2:$AA$113,MATCH($A8,Параметры!$A$2:$A$113,0))</f>
        <v/>
      </c>
      <c r="F8" s="10">
        <f>INDEX(Параметры!$AC$2:$AC$113,MATCH($A8,Параметры!$A$2:$A$113,0))</f>
        <v/>
      </c>
      <c r="G8" s="9">
        <f>INDEX(Параметры!$AF$2:$AF$113,MATCH($A8,Параметры!$A$2:$A$113,0))</f>
        <v/>
      </c>
    </row>
    <row r="9">
      <c r="A9" s="2" t="inlineStr">
        <is>
          <t>Ярилин разбег</t>
        </is>
      </c>
      <c r="B9" s="9">
        <f>INDEX(Параметры!$I$2:$I$113,MATCH($A9,Параметры!$A$2:$A$113,0))</f>
        <v/>
      </c>
      <c r="C9" s="9">
        <f>INDEX(Параметры!$M$2:$M$113,MATCH($A9,Параметры!$A$2:$A$113,0))</f>
        <v/>
      </c>
      <c r="D9" s="9">
        <f>INDEX(Параметры!$C$2:$C$113,MATCH($A9,Параметры!$A$2:$A$113,0))</f>
        <v/>
      </c>
      <c r="E9" s="9">
        <f>INDEX(Параметры!$AA$2:$AA$113,MATCH($A9,Параметры!$A$2:$A$113,0))</f>
        <v/>
      </c>
      <c r="F9" s="10">
        <f>INDEX(Параметры!$AC$2:$AC$113,MATCH($A9,Параметры!$A$2:$A$113,0))</f>
        <v/>
      </c>
      <c r="G9" s="9">
        <f>INDEX(Параметры!$AF$2:$AF$113,MATCH($A9,Параметры!$A$2:$A$113,0))</f>
        <v/>
      </c>
    </row>
    <row r="10">
      <c r="A10" s="2" t="inlineStr">
        <is>
          <t>Приговор</t>
        </is>
      </c>
      <c r="B10" s="9">
        <f>INDEX(Параметры!$I$2:$I$113,MATCH($A10,Параметры!$A$2:$A$113,0))</f>
        <v/>
      </c>
      <c r="C10" s="9">
        <f>INDEX(Параметры!$M$2:$M$113,MATCH($A10,Параметры!$A$2:$A$113,0))</f>
        <v/>
      </c>
      <c r="D10" s="9">
        <f>INDEX(Параметры!$C$2:$C$113,MATCH($A10,Параметры!$A$2:$A$113,0))</f>
        <v/>
      </c>
      <c r="E10" s="9">
        <f>INDEX(Параметры!$AA$2:$AA$113,MATCH($A10,Параметры!$A$2:$A$113,0))</f>
        <v/>
      </c>
      <c r="F10" s="10">
        <f>INDEX(Параметры!$AC$2:$AC$113,MATCH($A10,Параметры!$A$2:$A$113,0))</f>
        <v/>
      </c>
      <c r="G10" s="9">
        <f>INDEX(Параметры!$AF$2:$AF$113,MATCH($A10,Параметры!$A$2:$A$113,0))</f>
        <v/>
      </c>
    </row>
    <row r="11">
      <c r="A11" s="2" t="inlineStr">
        <is>
          <t>Ночь без меры</t>
        </is>
      </c>
      <c r="B11" s="9">
        <f>INDEX(Параметры!$I$2:$I$113,MATCH($A11,Параметры!$A$2:$A$113,0))</f>
        <v/>
      </c>
      <c r="C11" s="9">
        <f>INDEX(Параметры!$M$2:$M$113,MATCH($A11,Параметры!$A$2:$A$113,0))</f>
        <v/>
      </c>
      <c r="D11" s="9">
        <f>INDEX(Параметры!$C$2:$C$113,MATCH($A11,Параметры!$A$2:$A$113,0))</f>
        <v/>
      </c>
      <c r="E11" s="9">
        <f>INDEX(Параметры!$AA$2:$AA$113,MATCH($A11,Параметры!$A$2:$A$113,0))</f>
        <v/>
      </c>
      <c r="F11" s="10">
        <f>INDEX(Параметры!$AC$2:$AC$113,MATCH($A11,Параметры!$A$2:$A$113,0))</f>
        <v/>
      </c>
      <c r="G11" s="9">
        <f>INDEX(Параметры!$AF$2:$AF$113,MATCH($A11,Параметры!$A$2:$A$113,0))</f>
        <v/>
      </c>
    </row>
    <row r="12">
      <c r="A12" s="2" t="inlineStr">
        <is>
          <t>Незакатный взор</t>
        </is>
      </c>
      <c r="B12" s="9">
        <f>INDEX(Параметры!$I$2:$I$113,MATCH($A12,Параметры!$A$2:$A$113,0))</f>
        <v/>
      </c>
      <c r="C12" s="9">
        <f>INDEX(Параметры!$M$2:$M$113,MATCH($A12,Параметры!$A$2:$A$113,0))</f>
        <v/>
      </c>
      <c r="D12" s="9">
        <f>INDEX(Параметры!$C$2:$C$113,MATCH($A12,Параметры!$A$2:$A$113,0))</f>
        <v/>
      </c>
      <c r="E12" s="9">
        <f>INDEX(Параметры!$AA$2:$AA$113,MATCH($A12,Параметры!$A$2:$A$113,0))</f>
        <v/>
      </c>
      <c r="F12" s="10">
        <f>INDEX(Параметры!$AC$2:$AC$113,MATCH($A12,Параметры!$A$2:$A$113,0))</f>
        <v/>
      </c>
      <c r="G12" s="9">
        <f>INDEX(Параметры!$AF$2:$AF$113,MATCH($A12,Параметры!$A$2:$A$113,0))</f>
        <v/>
      </c>
    </row>
    <row r="13">
      <c r="A13" s="2" t="inlineStr">
        <is>
          <t>Внуки</t>
        </is>
      </c>
      <c r="B13" s="9">
        <f>INDEX(Параметры!$I$2:$I$113,MATCH($A13,Параметры!$A$2:$A$113,0))</f>
        <v/>
      </c>
      <c r="C13" s="9">
        <f>INDEX(Параметры!$M$2:$M$113,MATCH($A13,Параметры!$A$2:$A$113,0))</f>
        <v/>
      </c>
      <c r="D13" s="9">
        <f>INDEX(Параметры!$C$2:$C$113,MATCH($A13,Параметры!$A$2:$A$113,0))</f>
        <v/>
      </c>
      <c r="E13" s="9">
        <f>INDEX(Параметры!$AA$2:$AA$113,MATCH($A13,Параметры!$A$2:$A$113,0))</f>
        <v/>
      </c>
      <c r="F13" s="10">
        <f>INDEX(Параметры!$AC$2:$AC$113,MATCH($A13,Параметры!$A$2:$A$113,0))</f>
        <v/>
      </c>
      <c r="G13" s="9">
        <f>INDEX(Параметры!$AF$2:$AF$113,MATCH($A13,Параметры!$A$2:$A$113,0))</f>
        <v/>
      </c>
    </row>
    <row r="14">
      <c r="A14" s="2" t="inlineStr">
        <is>
          <t>Буря-вестница</t>
        </is>
      </c>
      <c r="B14" s="9">
        <f>INDEX(Параметры!$I$2:$I$113,MATCH($A14,Параметры!$A$2:$A$113,0))</f>
        <v/>
      </c>
      <c r="C14" s="9">
        <f>INDEX(Параметры!$M$2:$M$113,MATCH($A14,Параметры!$A$2:$A$113,0))</f>
        <v/>
      </c>
      <c r="D14" s="9">
        <f>INDEX(Параметры!$C$2:$C$113,MATCH($A14,Параметры!$A$2:$A$113,0))</f>
        <v/>
      </c>
      <c r="E14" s="9">
        <f>INDEX(Параметры!$AA$2:$AA$113,MATCH($A14,Параметры!$A$2:$A$113,0))</f>
        <v/>
      </c>
      <c r="F14" s="10">
        <f>INDEX(Параметры!$AC$2:$AC$113,MATCH($A14,Параметры!$A$2:$A$113,0))</f>
        <v/>
      </c>
      <c r="G14" s="9">
        <f>INDEX(Параметры!$AF$2:$AF$113,MATCH($A14,Параметры!$A$2:$A$113,0))</f>
        <v/>
      </c>
    </row>
    <row r="15">
      <c r="A15" s="2" t="inlineStr">
        <is>
          <t>Весь путь</t>
        </is>
      </c>
      <c r="B15" s="9">
        <f>INDEX(Параметры!$I$2:$I$113,MATCH($A15,Параметры!$A$2:$A$113,0))</f>
        <v/>
      </c>
      <c r="C15" s="9">
        <f>INDEX(Параметры!$M$2:$M$113,MATCH($A15,Параметры!$A$2:$A$113,0))</f>
        <v/>
      </c>
      <c r="D15" s="9">
        <f>INDEX(Параметры!$C$2:$C$113,MATCH($A15,Параметры!$A$2:$A$113,0))</f>
        <v/>
      </c>
      <c r="E15" s="9">
        <f>INDEX(Параметры!$AA$2:$AA$113,MATCH($A15,Параметры!$A$2:$A$113,0))</f>
        <v/>
      </c>
      <c r="F15" s="10">
        <f>INDEX(Параметры!$AC$2:$AC$113,MATCH($A15,Параметры!$A$2:$A$113,0))</f>
        <v/>
      </c>
      <c r="G15" s="9">
        <f>INDEX(Параметры!$AF$2:$AF$113,MATCH($A15,Параметры!$A$2:$A$113,0))</f>
        <v/>
      </c>
    </row>
    <row r="16">
      <c r="A16" s="2" t="inlineStr">
        <is>
          <t>Ковка</t>
        </is>
      </c>
      <c r="B16" s="9">
        <f>INDEX(Параметры!$I$2:$I$113,MATCH($A16,Параметры!$A$2:$A$113,0))</f>
        <v/>
      </c>
      <c r="C16" s="9">
        <f>INDEX(Параметры!$M$2:$M$113,MATCH($A16,Параметры!$A$2:$A$113,0))</f>
        <v/>
      </c>
      <c r="D16" s="9">
        <f>INDEX(Параметры!$C$2:$C$113,MATCH($A16,Параметры!$A$2:$A$113,0))</f>
        <v/>
      </c>
      <c r="E16" s="9">
        <f>INDEX(Параметры!$AA$2:$AA$113,MATCH($A16,Параметры!$A$2:$A$113,0))</f>
        <v/>
      </c>
      <c r="F16" s="10">
        <f>INDEX(Параметры!$AC$2:$AC$113,MATCH($A16,Параметры!$A$2:$A$113,0))</f>
        <v/>
      </c>
      <c r="G16" s="9">
        <f>INDEX(Параметры!$AF$2:$AF$113,MATCH($A16,Параметры!$A$2:$A$113,0))</f>
        <v/>
      </c>
    </row>
    <row r="17">
      <c r="A17" s="2" t="inlineStr">
        <is>
          <t>Клещи с неба</t>
        </is>
      </c>
      <c r="B17" s="9">
        <f>INDEX(Параметры!$I$2:$I$113,MATCH($A17,Параметры!$A$2:$A$113,0))</f>
        <v/>
      </c>
      <c r="C17" s="9">
        <f>INDEX(Параметры!$M$2:$M$113,MATCH($A17,Параметры!$A$2:$A$113,0))</f>
        <v/>
      </c>
      <c r="D17" s="9">
        <f>INDEX(Параметры!$C$2:$C$113,MATCH($A17,Параметры!$A$2:$A$113,0))</f>
        <v/>
      </c>
      <c r="E17" s="9">
        <f>INDEX(Параметры!$AA$2:$AA$113,MATCH($A17,Параметры!$A$2:$A$113,0))</f>
        <v/>
      </c>
      <c r="F17" s="10">
        <f>INDEX(Параметры!$AC$2:$AC$113,MATCH($A17,Параметры!$A$2:$A$113,0))</f>
        <v/>
      </c>
      <c r="G17" s="9">
        <f>INDEX(Параметры!$AF$2:$AF$113,MATCH($A17,Параметры!$A$2:$A$113,0))</f>
        <v/>
      </c>
    </row>
    <row r="19">
      <c r="A19" s="11" t="inlineStr">
        <is>
          <t>Аналог листа Meta: божьи камни ранга S (2 на бога), только от бога Нави; ультимейт — слот 4 в Нави.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0" customWidth="1" min="4" max="4"/>
    <col width="9" customWidth="1" min="5" max="5"/>
    <col width="13" customWidth="1" min="6" max="6"/>
    <col width="9" customWidth="1" min="7" max="7"/>
    <col width="15" customWidth="1" min="8" max="8"/>
    <col width="6" customWidth="1" min="9" max="9"/>
    <col width="7" customWidth="1" min="10" max="10"/>
    <col width="15" customWidth="1" min="11" max="11"/>
    <col width="7" customWidth="1" min="12" max="12"/>
    <col width="34" customWidth="1" min="13" max="13"/>
    <col width="6" customWidth="1" min="14" max="14"/>
    <col width="8" customWidth="1" min="15" max="15"/>
    <col width="9" customWidth="1" min="16" max="16"/>
    <col width="9" customWidth="1" min="17" max="17"/>
    <col width="15" customWidth="1" min="18" max="18"/>
    <col width="8" customWidth="1" min="19" max="19"/>
    <col width="9" customWidth="1" min="20" max="20"/>
    <col width="9" customWidth="1" min="21" max="21"/>
    <col width="9" customWidth="1" min="22" max="22"/>
    <col width="9" customWidth="1" min="23" max="23"/>
    <col width="11" customWidth="1" min="24" max="24"/>
    <col width="9" customWidth="1" min="25" max="25"/>
    <col width="11" customWidth="1" min="26" max="26"/>
    <col width="9" customWidth="1" min="27" max="27"/>
    <col width="9" customWidth="1" min="28" max="28"/>
    <col width="11" customWidth="1" min="29" max="29"/>
    <col width="9" customWidth="1" min="30" max="30"/>
    <col width="11" customWidth="1" min="31" max="31"/>
    <col width="50" customWidth="1" min="32" max="32"/>
    <col width="45" customWidth="1" min="33" max="33"/>
    <col width="70" customWidth="1" min="34" max="34"/>
    <col width="12" customWidth="1" min="35" max="35"/>
  </cols>
  <sheetData>
    <row r="1">
      <c r="A1" s="4" t="inlineStr">
        <is>
          <t>Название</t>
        </is>
      </c>
      <c r="B1" s="4" t="inlineStr">
        <is>
          <t>Тип</t>
        </is>
      </c>
      <c r="C1" s="4" t="inlineStr">
        <is>
          <t>Биом</t>
        </is>
      </c>
      <c r="D1" s="4" t="inlineStr">
        <is>
          <t>Бог</t>
        </is>
      </c>
      <c r="E1" s="4" t="inlineStr">
        <is>
          <t>Стихия</t>
        </is>
      </c>
      <c r="F1" s="4" t="inlineStr">
        <is>
          <t>Роль</t>
        </is>
      </c>
      <c r="G1" s="4" t="inlineStr">
        <is>
          <t>Метка</t>
        </is>
      </c>
      <c r="H1" s="4" t="inlineStr">
        <is>
          <t>Глагол</t>
        </is>
      </c>
      <c r="I1" s="4" t="inlineStr">
        <is>
          <t>Ранг</t>
        </is>
      </c>
      <c r="J1" s="4" t="inlineStr">
        <is>
          <t>Мир</t>
        </is>
      </c>
      <c r="K1" s="4" t="inlineStr">
        <is>
          <t>Источник</t>
        </is>
      </c>
      <c r="L1" s="4" t="inlineStr">
        <is>
          <t>Гнёзд</t>
        </is>
      </c>
      <c r="M1" s="4" t="inlineStr">
        <is>
          <t>Теги</t>
        </is>
      </c>
      <c r="N1" s="4" t="inlineStr">
        <is>
          <t>Ярь</t>
        </is>
      </c>
      <c r="O1" s="4" t="inlineStr">
        <is>
          <t>Откат, с</t>
        </is>
      </c>
      <c r="P1" s="4" t="inlineStr">
        <is>
          <t>Урон (база)</t>
        </is>
      </c>
      <c r="Q1" s="4" t="inlineStr">
        <is>
          <t>Ударов за применение</t>
        </is>
      </c>
      <c r="R1" s="4" t="inlineStr">
        <is>
          <t>Основа урона</t>
        </is>
      </c>
      <c r="S1" s="4" t="inlineStr">
        <is>
          <t>Радиус, м</t>
        </is>
      </c>
      <c r="T1" s="4" t="inlineStr">
        <is>
          <t>Дальность, м</t>
        </is>
      </c>
      <c r="U1" s="4" t="inlineStr">
        <is>
          <t>Задержка, с</t>
        </is>
      </c>
      <c r="V1" s="4" t="inlineStr">
        <is>
          <t>Длительность, с</t>
        </is>
      </c>
      <c r="W1" s="4" t="inlineStr">
        <is>
          <t>Контроль, с</t>
        </is>
      </c>
      <c r="X1" s="4" t="inlineStr">
        <is>
          <t>Урон за применение</t>
        </is>
      </c>
      <c r="Y1" s="4" t="inlineStr">
        <is>
          <t>Бонус ранга</t>
        </is>
      </c>
      <c r="Z1" s="4" t="inlineStr">
        <is>
          <t>Урон с рангом</t>
        </is>
      </c>
      <c r="AA1" s="4" t="inlineStr">
        <is>
          <t>Ярь с рангом</t>
        </is>
      </c>
      <c r="AB1" s="4" t="inlineStr">
        <is>
          <t>Урон на 1 Ярь</t>
        </is>
      </c>
      <c r="AC1" s="4" t="inlineStr">
        <is>
          <t>Урон/с по откату</t>
        </is>
      </c>
      <c r="AD1" s="4" t="inlineStr">
        <is>
          <t>Доля эталона (по Яри)</t>
        </is>
      </c>
      <c r="AE1" s="4" t="inlineStr">
        <is>
          <t>Флаг баланса</t>
        </is>
      </c>
      <c r="AF1" s="4" t="inlineStr">
        <is>
          <t>Описание</t>
        </is>
      </c>
      <c r="AG1" s="4" t="inlineStr">
        <is>
          <t>Описание картинки</t>
        </is>
      </c>
      <c r="AH1" s="4" t="inlineStr">
        <is>
          <t>Промт иконки</t>
        </is>
      </c>
      <c r="AI1" s="4" t="inlineStr">
        <is>
          <t>Статус</t>
        </is>
      </c>
    </row>
    <row r="2">
      <c r="A2" s="2" t="inlineStr">
        <is>
          <t>Громовой удар</t>
        </is>
      </c>
      <c r="B2" s="2" t="inlineStr">
        <is>
          <t>Активный</t>
        </is>
      </c>
      <c r="C2" s="2" t="inlineStr">
        <is>
          <t>Выси</t>
        </is>
      </c>
      <c r="D2" s="2" t="inlineStr">
        <is>
          <t>Перун</t>
        </is>
      </c>
      <c r="E2" s="2" t="inlineStr">
        <is>
          <t>Гром</t>
        </is>
      </c>
      <c r="F2" s="2" t="inlineStr">
        <is>
          <t>Мили-ДД</t>
        </is>
      </c>
      <c r="G2" s="2" t="inlineStr">
        <is>
          <t>удар</t>
        </is>
      </c>
      <c r="H2" s="2" t="inlineStr">
        <is>
          <t>площадь</t>
        </is>
      </c>
      <c r="I2" s="2" t="inlineStr">
        <is>
          <t>D</t>
        </is>
      </c>
      <c r="J2" s="2">
        <f>INDEX(Константы!$G$18:$G$22,MATCH(I2,Константы!$A$18:$A$22,0))</f>
        <v/>
      </c>
      <c r="K2" s="2">
        <f>INDEX(Константы!$F$18:$F$22,MATCH(I2,Константы!$A$18:$A$22,0))</f>
        <v/>
      </c>
      <c r="L2" s="2">
        <f>INDEX(Константы!$C$18:$C$22,MATCH(I2,Константы!$A$18:$A$22,0))</f>
        <v/>
      </c>
      <c r="M2" s="2">
        <f>G2&amp;", "&amp;H2&amp;", "&amp;E2&amp;", "&amp;F2&amp;IF(I2="S",", Божий","")</f>
        <v/>
      </c>
      <c r="N2" s="6" t="n">
        <v>20</v>
      </c>
      <c r="O2" s="6" t="n">
        <v>4</v>
      </c>
      <c r="P2" s="6" t="n">
        <v>1.8</v>
      </c>
      <c r="Q2" s="6" t="n">
        <v>1</v>
      </c>
      <c r="R2" s="6" t="inlineStr">
        <is>
          <t>оружие ближнее</t>
        </is>
      </c>
      <c r="S2" s="6" t="n">
        <v>4</v>
      </c>
      <c r="T2" s="6" t="n">
        <v>0</v>
      </c>
      <c r="U2" s="6" t="n">
        <v>0</v>
      </c>
      <c r="V2" s="6" t="n">
        <v>0</v>
      </c>
      <c r="W2" s="6" t="n">
        <v>0</v>
      </c>
      <c r="X2" s="2">
        <f>Q2*IF(R2="оружие ближнее",P2*Константы!$B$3,IF(R2="оружие дальнее",P2*Константы!$B$4,P2))</f>
        <v/>
      </c>
      <c r="Y2" s="15">
        <f>INDEX(Константы!$D$18:$D$22,MATCH(I2,Константы!$A$18:$A$22,0))</f>
        <v/>
      </c>
      <c r="Z2" s="16">
        <f>X2*(1+Y2)</f>
        <v/>
      </c>
      <c r="AA2" s="16">
        <f>N2*(1-INDEX(Константы!$E$18:$E$22,MATCH(I2,Константы!$A$18:$A$22,0)))</f>
        <v/>
      </c>
      <c r="AB2" s="14">
        <f>IF(AA2&gt;0,Z2/AA2,0)</f>
        <v/>
      </c>
      <c r="AC2" s="16">
        <f>IF(O2&gt;0,Z2/O2,0)</f>
        <v/>
      </c>
      <c r="AD2" s="14">
        <f>IF(AA2&gt;0,AB2/Константы!$B$14,0)</f>
        <v/>
      </c>
      <c r="AE2" s="2">
        <f>IF(Z2=0,"без урона",IF(AD2&gt;Константы!$B$12,"перегиб",IF(AND(AA2&gt;0,AD2&lt;Константы!$B$13),"слабый","норма")))</f>
        <v/>
      </c>
      <c r="AF2" s="2" t="inlineStr">
        <is>
          <t>Удар оружием с разрядом: дуга 120° перед героем.</t>
        </is>
      </c>
      <c r="AG2" s="2" t="inlineStr">
        <is>
          <t>Дуга синеватых разрядов срывается с клинка, камень под ней в трещинах.</t>
        </is>
      </c>
      <c r="AH2" s="2">
        <f>"Flat game UI rune icon, 256x256, centered on a dark slate (#1E2230) square tile. An outer "&amp;INDEX(Руны!$C$27:$C$30,MATCH(G2,Руны!$A$27:$A$30,0))&amp;", thick carved "&amp;INDEX(Руны!$F$2:$F$10,MATCH(E2,Руны!$A$2:$A$10,0))&amp;" stroke"&amp;INDEX(Руны!$G$2:$G$10,MATCH(E2,Руны!$A$2:$A$10,0))&amp;" and a "&amp;INDEX(Руны!$I$2:$I$10,MATCH(E2,Руны!$A$2:$A$10,0))&amp;" around its outside. Inside: "&amp;INDEX(Руны!$C$14:$C$23,MATCH(H2,Руны!$A$14:$A$23,0))&amp;". Chiseled straight line ends, flat vector, no perspective, faint outer glow."</f>
        <v/>
      </c>
      <c r="AI2" s="2" t="inlineStr">
        <is>
          <t>[Д] черновик</t>
        </is>
      </c>
    </row>
    <row r="3">
      <c r="A3" s="2" t="inlineStr">
        <is>
          <t>Било</t>
        </is>
      </c>
      <c r="B3" s="2" t="inlineStr">
        <is>
          <t>Активный</t>
        </is>
      </c>
      <c r="C3" s="2" t="inlineStr">
        <is>
          <t>Выси</t>
        </is>
      </c>
      <c r="D3" s="2" t="inlineStr">
        <is>
          <t>Перун</t>
        </is>
      </c>
      <c r="E3" s="2" t="inlineStr">
        <is>
          <t>Гром</t>
        </is>
      </c>
      <c r="F3" s="2" t="inlineStr">
        <is>
          <t>Мили-ДД</t>
        </is>
      </c>
      <c r="G3" s="2" t="inlineStr">
        <is>
          <t>удар</t>
        </is>
      </c>
      <c r="H3" s="2" t="inlineStr">
        <is>
          <t>площадь</t>
        </is>
      </c>
      <c r="I3" s="2" t="inlineStr">
        <is>
          <t>B</t>
        </is>
      </c>
      <c r="J3" s="2">
        <f>INDEX(Константы!$G$18:$G$22,MATCH(I3,Константы!$A$18:$A$22,0))</f>
        <v/>
      </c>
      <c r="K3" s="2">
        <f>INDEX(Константы!$F$18:$F$22,MATCH(I3,Константы!$A$18:$A$22,0))</f>
        <v/>
      </c>
      <c r="L3" s="2">
        <f>INDEX(Константы!$C$18:$C$22,MATCH(I3,Константы!$A$18:$A$22,0))</f>
        <v/>
      </c>
      <c r="M3" s="2">
        <f>G3&amp;", "&amp;H3&amp;", "&amp;E3&amp;", "&amp;F3&amp;IF(I3="S",", Божий","")</f>
        <v/>
      </c>
      <c r="N3" s="6" t="n">
        <v>30</v>
      </c>
      <c r="O3" s="6" t="n">
        <v>9</v>
      </c>
      <c r="P3" s="6" t="n">
        <v>3</v>
      </c>
      <c r="Q3" s="6" t="n">
        <v>1</v>
      </c>
      <c r="R3" s="6" t="inlineStr">
        <is>
          <t>оружие ближнее</t>
        </is>
      </c>
      <c r="S3" s="6" t="n">
        <v>6</v>
      </c>
      <c r="T3" s="6" t="n">
        <v>0</v>
      </c>
      <c r="U3" s="6" t="n">
        <v>0.4</v>
      </c>
      <c r="V3" s="6" t="n">
        <v>0</v>
      </c>
      <c r="W3" s="6" t="n">
        <v>0.5</v>
      </c>
      <c r="X3" s="2">
        <f>Q3*IF(R3="оружие ближнее",P3*Константы!$B$3,IF(R3="оружие дальнее",P3*Константы!$B$4,P3))</f>
        <v/>
      </c>
      <c r="Y3" s="15">
        <f>INDEX(Константы!$D$18:$D$22,MATCH(I3,Константы!$A$18:$A$22,0))</f>
        <v/>
      </c>
      <c r="Z3" s="16">
        <f>X3*(1+Y3)</f>
        <v/>
      </c>
      <c r="AA3" s="16">
        <f>N3*(1-INDEX(Константы!$E$18:$E$22,MATCH(I3,Константы!$A$18:$A$22,0)))</f>
        <v/>
      </c>
      <c r="AB3" s="14">
        <f>IF(AA3&gt;0,Z3/AA3,0)</f>
        <v/>
      </c>
      <c r="AC3" s="16">
        <f>IF(O3&gt;0,Z3/O3,0)</f>
        <v/>
      </c>
      <c r="AD3" s="14">
        <f>IF(AA3&gt;0,AB3/Константы!$B$14,0)</f>
        <v/>
      </c>
      <c r="AE3" s="2">
        <f>IF(Z3=0,"без урона",IF(AD3&gt;Константы!$B$12,"перегиб",IF(AND(AA3&gt;0,AD3&lt;Константы!$B$13),"слабый","норма")))</f>
        <v/>
      </c>
      <c r="AF3" s="2" t="inlineStr">
        <is>
          <t>Удар оружием в землю как в дозорное било: кольцевая волна оглушает.</t>
        </is>
      </c>
      <c r="AG3" s="2" t="inlineStr">
        <is>
          <t>Кольцо ударной волны от вбитого оружия, трещины лучами.</t>
        </is>
      </c>
      <c r="AH3" s="2">
        <f>"Flat game UI rune icon, 256x256, centered on a dark slate (#1E2230) square tile. An outer "&amp;INDEX(Руны!$C$27:$C$30,MATCH(G3,Руны!$A$27:$A$30,0))&amp;", thick carved "&amp;INDEX(Руны!$F$2:$F$10,MATCH(E3,Руны!$A$2:$A$10,0))&amp;" stroke"&amp;INDEX(Руны!$G$2:$G$10,MATCH(E3,Руны!$A$2:$A$10,0))&amp;" and a "&amp;INDEX(Руны!$I$2:$I$10,MATCH(E3,Руны!$A$2:$A$10,0))&amp;" around its outside. Inside: "&amp;INDEX(Руны!$C$14:$C$23,MATCH(H3,Руны!$A$14:$A$23,0))&amp;". Chiseled straight line ends, flat vector, no perspective, faint outer glow."</f>
        <v/>
      </c>
      <c r="AI3" s="2" t="inlineStr">
        <is>
          <t>[Д] черновик</t>
        </is>
      </c>
    </row>
    <row r="4">
      <c r="A4" s="2" t="inlineStr">
        <is>
          <t>Цепная искра</t>
        </is>
      </c>
      <c r="B4" s="2" t="inlineStr">
        <is>
          <t>Активный</t>
        </is>
      </c>
      <c r="C4" s="2" t="inlineStr">
        <is>
          <t>Выси</t>
        </is>
      </c>
      <c r="D4" s="2" t="inlineStr">
        <is>
          <t>Перун</t>
        </is>
      </c>
      <c r="E4" s="2" t="inlineStr">
        <is>
          <t>Гром</t>
        </is>
      </c>
      <c r="F4" s="2" t="inlineStr">
        <is>
          <t>Ренж-ДД</t>
        </is>
      </c>
      <c r="G4" s="2" t="inlineStr">
        <is>
          <t>выстрел</t>
        </is>
      </c>
      <c r="H4" s="2" t="inlineStr">
        <is>
          <t>цепь</t>
        </is>
      </c>
      <c r="I4" s="2" t="inlineStr">
        <is>
          <t>C</t>
        </is>
      </c>
      <c r="J4" s="2">
        <f>INDEX(Константы!$G$18:$G$22,MATCH(I4,Константы!$A$18:$A$22,0))</f>
        <v/>
      </c>
      <c r="K4" s="2">
        <f>INDEX(Константы!$F$18:$F$22,MATCH(I4,Константы!$A$18:$A$22,0))</f>
        <v/>
      </c>
      <c r="L4" s="2">
        <f>INDEX(Константы!$C$18:$C$22,MATCH(I4,Константы!$A$18:$A$22,0))</f>
        <v/>
      </c>
      <c r="M4" s="2">
        <f>G4&amp;", "&amp;H4&amp;", "&amp;E4&amp;", "&amp;F4&amp;IF(I4="S",", Божий","")</f>
        <v/>
      </c>
      <c r="N4" s="6" t="n">
        <v>20</v>
      </c>
      <c r="O4" s="6" t="n">
        <v>3</v>
      </c>
      <c r="P4" s="6" t="n">
        <v>1</v>
      </c>
      <c r="Q4" s="6" t="n">
        <v>1</v>
      </c>
      <c r="R4" s="6" t="inlineStr">
        <is>
          <t>оружие дальнее</t>
        </is>
      </c>
      <c r="S4" s="6" t="n">
        <v>0</v>
      </c>
      <c r="T4" s="6" t="n">
        <v>40</v>
      </c>
      <c r="U4" s="6" t="n">
        <v>0</v>
      </c>
      <c r="V4" s="6" t="n">
        <v>0</v>
      </c>
      <c r="W4" s="6" t="n">
        <v>0</v>
      </c>
      <c r="X4" s="2">
        <f>Q4*IF(R4="оружие ближнее",P4*Константы!$B$3,IF(R4="оружие дальнее",P4*Константы!$B$4,P4))</f>
        <v/>
      </c>
      <c r="Y4" s="15">
        <f>INDEX(Константы!$D$18:$D$22,MATCH(I4,Константы!$A$18:$A$22,0))</f>
        <v/>
      </c>
      <c r="Z4" s="16">
        <f>X4*(1+Y4)</f>
        <v/>
      </c>
      <c r="AA4" s="16">
        <f>N4*(1-INDEX(Константы!$E$18:$E$22,MATCH(I4,Константы!$A$18:$A$22,0)))</f>
        <v/>
      </c>
      <c r="AB4" s="14">
        <f>IF(AA4&gt;0,Z4/AA4,0)</f>
        <v/>
      </c>
      <c r="AC4" s="16">
        <f>IF(O4&gt;0,Z4/O4,0)</f>
        <v/>
      </c>
      <c r="AD4" s="14">
        <f>IF(AA4&gt;0,AB4/Константы!$B$14,0)</f>
        <v/>
      </c>
      <c r="AE4" s="2">
        <f>IF(Z4=0,"без урона",IF(AD4&gt;Константы!$B$12,"перегиб",IF(AND(AA4&gt;0,AD4&lt;Константы!$B$13),"слабый","норма")))</f>
        <v/>
      </c>
      <c r="AF4" s="2" t="inlineStr">
        <is>
          <t>Выстрел искрой: 3 прыжка по соседним врагам, −25% за прыжок.</t>
        </is>
      </c>
      <c r="AG4" s="2" t="inlineStr">
        <is>
          <t>Три звена молнии между фигурами, гаснущие к концу.</t>
        </is>
      </c>
      <c r="AH4" s="2">
        <f>"Flat game UI rune icon, 256x256, centered on a dark slate (#1E2230) square tile. An outer "&amp;INDEX(Руны!$C$27:$C$30,MATCH(G4,Руны!$A$27:$A$30,0))&amp;", thick carved "&amp;INDEX(Руны!$F$2:$F$10,MATCH(E4,Руны!$A$2:$A$10,0))&amp;" stroke"&amp;INDEX(Руны!$G$2:$G$10,MATCH(E4,Руны!$A$2:$A$10,0))&amp;" and a "&amp;INDEX(Руны!$I$2:$I$10,MATCH(E4,Руны!$A$2:$A$10,0))&amp;" around its outside. Inside: "&amp;INDEX(Руны!$C$14:$C$23,MATCH(H4,Руны!$A$14:$A$23,0))&amp;". Chiseled straight line ends, flat vector, no perspective, faint outer glow."</f>
        <v/>
      </c>
      <c r="AI4" s="2" t="inlineStr">
        <is>
          <t>[Д] черновик</t>
        </is>
      </c>
    </row>
    <row r="5">
      <c r="A5" s="2" t="inlineStr">
        <is>
          <t>Суд Перуна</t>
        </is>
      </c>
      <c r="B5" s="2" t="inlineStr">
        <is>
          <t>Активный</t>
        </is>
      </c>
      <c r="C5" s="2" t="inlineStr">
        <is>
          <t>Выси</t>
        </is>
      </c>
      <c r="D5" s="2" t="inlineStr">
        <is>
          <t>Перун</t>
        </is>
      </c>
      <c r="E5" s="2" t="inlineStr">
        <is>
          <t>Гром</t>
        </is>
      </c>
      <c r="F5" s="2" t="inlineStr">
        <is>
          <t>Ренж-ДД</t>
        </is>
      </c>
      <c r="G5" s="2" t="inlineStr">
        <is>
          <t>чары</t>
        </is>
      </c>
      <c r="H5" s="2" t="inlineStr">
        <is>
          <t>обездвиживание</t>
        </is>
      </c>
      <c r="I5" s="2" t="inlineStr">
        <is>
          <t>S</t>
        </is>
      </c>
      <c r="J5" s="2">
        <f>INDEX(Константы!$G$18:$G$22,MATCH(I5,Константы!$A$18:$A$22,0))</f>
        <v/>
      </c>
      <c r="K5" s="2">
        <f>INDEX(Константы!$F$18:$F$22,MATCH(I5,Константы!$A$18:$A$22,0))</f>
        <v/>
      </c>
      <c r="L5" s="2">
        <f>INDEX(Константы!$C$18:$C$22,MATCH(I5,Константы!$A$18:$A$22,0))</f>
        <v/>
      </c>
      <c r="M5" s="2">
        <f>G5&amp;", "&amp;H5&amp;", "&amp;E5&amp;", "&amp;F5&amp;IF(I5="S",", Божий","")</f>
        <v/>
      </c>
      <c r="N5" s="6" t="n">
        <v>35</v>
      </c>
      <c r="O5" s="6" t="n">
        <v>25</v>
      </c>
      <c r="P5" s="6" t="n">
        <v>160</v>
      </c>
      <c r="Q5" s="6" t="n">
        <v>1</v>
      </c>
      <c r="R5" s="6" t="inlineStr">
        <is>
          <t>фикс</t>
        </is>
      </c>
      <c r="S5" s="6" t="n">
        <v>3</v>
      </c>
      <c r="T5" s="6" t="n">
        <v>30</v>
      </c>
      <c r="U5" s="6" t="n">
        <v>1</v>
      </c>
      <c r="V5" s="6" t="n">
        <v>0</v>
      </c>
      <c r="W5" s="6" t="n">
        <v>1</v>
      </c>
      <c r="X5" s="2">
        <f>Q5*IF(R5="оружие ближнее",P5*Константы!$B$3,IF(R5="оружие дальнее",P5*Константы!$B$4,P5))</f>
        <v/>
      </c>
      <c r="Y5" s="15">
        <f>INDEX(Константы!$D$18:$D$22,MATCH(I5,Константы!$A$18:$A$22,0))</f>
        <v/>
      </c>
      <c r="Z5" s="16">
        <f>X5*(1+Y5)</f>
        <v/>
      </c>
      <c r="AA5" s="16">
        <f>N5*(1-INDEX(Константы!$E$18:$E$22,MATCH(I5,Константы!$A$18:$A$22,0)))</f>
        <v/>
      </c>
      <c r="AB5" s="14">
        <f>IF(AA5&gt;0,Z5/AA5,0)</f>
        <v/>
      </c>
      <c r="AC5" s="16">
        <f>IF(O5&gt;0,Z5/O5,0)</f>
        <v/>
      </c>
      <c r="AD5" s="14">
        <f>IF(AA5&gt;0,AB5/Константы!$B$14,0)</f>
        <v/>
      </c>
      <c r="AE5" s="2">
        <f>IF(Z5=0,"без урона",IF(AD5&gt;Константы!$B$12,"перегиб",IF(AND(AA5&gt;0,AD5&lt;Константы!$B$13),"слабый","норма")))</f>
        <v/>
      </c>
      <c r="AF5" s="2" t="inlineStr">
        <is>
          <t>Метит всех врагов в поле зрения; через 1 с молния бьёт туда, где они стояли в миг метки.</t>
        </is>
      </c>
      <c r="AG5" s="2" t="inlineStr">
        <is>
          <t>Столбы молний падают в светящиеся отметины, враги уже отошли от них.</t>
        </is>
      </c>
      <c r="AH5" s="2">
        <f>"Flat game UI rune icon, 256x256, centered on a dark slate (#1E2230) square tile. An outer "&amp;INDEX(Руны!$C$27:$C$30,MATCH(G5,Руны!$A$27:$A$30,0))&amp;", thick carved "&amp;INDEX(Руны!$F$2:$F$10,MATCH(E5,Руны!$A$2:$A$10,0))&amp;" stroke"&amp;INDEX(Руны!$G$2:$G$10,MATCH(E5,Руны!$A$2:$A$10,0))&amp;" and a "&amp;INDEX(Руны!$I$2:$I$10,MATCH(E5,Руны!$A$2:$A$10,0))&amp;" around its outside. Inside: "&amp;INDEX(Руны!$C$14:$C$23,MATCH(H5,Руны!$A$14:$A$23,0))&amp;". Chiseled straight line ends, flat vector, no perspective, faint outer glow."</f>
        <v/>
      </c>
      <c r="AI5" s="2" t="inlineStr">
        <is>
          <t>[Д] черновик</t>
        </is>
      </c>
    </row>
    <row r="6">
      <c r="A6" s="2" t="inlineStr">
        <is>
          <t>Оберег грозы</t>
        </is>
      </c>
      <c r="B6" s="2" t="inlineStr">
        <is>
          <t>Активный</t>
        </is>
      </c>
      <c r="C6" s="2" t="inlineStr">
        <is>
          <t>Выси</t>
        </is>
      </c>
      <c r="D6" s="2" t="inlineStr">
        <is>
          <t>Перун</t>
        </is>
      </c>
      <c r="E6" s="2" t="inlineStr">
        <is>
          <t>Гром</t>
        </is>
      </c>
      <c r="F6" s="2" t="inlineStr">
        <is>
          <t>Танк</t>
        </is>
      </c>
      <c r="G6" s="2" t="inlineStr">
        <is>
          <t>чары</t>
        </is>
      </c>
      <c r="H6" s="2" t="inlineStr">
        <is>
          <t>щит</t>
        </is>
      </c>
      <c r="I6" s="2" t="inlineStr">
        <is>
          <t>C</t>
        </is>
      </c>
      <c r="J6" s="2">
        <f>INDEX(Константы!$G$18:$G$22,MATCH(I6,Константы!$A$18:$A$22,0))</f>
        <v/>
      </c>
      <c r="K6" s="2">
        <f>INDEX(Константы!$F$18:$F$22,MATCH(I6,Константы!$A$18:$A$22,0))</f>
        <v/>
      </c>
      <c r="L6" s="2">
        <f>INDEX(Константы!$C$18:$C$22,MATCH(I6,Константы!$A$18:$A$22,0))</f>
        <v/>
      </c>
      <c r="M6" s="2">
        <f>G6&amp;", "&amp;H6&amp;", "&amp;E6&amp;", "&amp;F6&amp;IF(I6="S",", Божий","")</f>
        <v/>
      </c>
      <c r="N6" s="6" t="n">
        <v>35</v>
      </c>
      <c r="O6" s="6" t="n">
        <v>18</v>
      </c>
      <c r="P6" s="6" t="n">
        <v>40</v>
      </c>
      <c r="Q6" s="6" t="n">
        <v>1</v>
      </c>
      <c r="R6" s="6" t="inlineStr">
        <is>
          <t>фикс</t>
        </is>
      </c>
      <c r="S6" s="6" t="n">
        <v>4</v>
      </c>
      <c r="T6" s="6" t="n">
        <v>0</v>
      </c>
      <c r="U6" s="6" t="n">
        <v>0</v>
      </c>
      <c r="V6" s="6" t="n">
        <v>5</v>
      </c>
      <c r="W6" s="6" t="n">
        <v>0</v>
      </c>
      <c r="X6" s="2">
        <f>Q6*IF(R6="оружие ближнее",P6*Константы!$B$3,IF(R6="оружие дальнее",P6*Константы!$B$4,P6))</f>
        <v/>
      </c>
      <c r="Y6" s="15">
        <f>INDEX(Константы!$D$18:$D$22,MATCH(I6,Константы!$A$18:$A$22,0))</f>
        <v/>
      </c>
      <c r="Z6" s="16">
        <f>X6*(1+Y6)</f>
        <v/>
      </c>
      <c r="AA6" s="16">
        <f>N6*(1-INDEX(Константы!$E$18:$E$22,MATCH(I6,Константы!$A$18:$A$22,0)))</f>
        <v/>
      </c>
      <c r="AB6" s="14">
        <f>IF(AA6&gt;0,Z6/AA6,0)</f>
        <v/>
      </c>
      <c r="AC6" s="16">
        <f>IF(O6&gt;0,Z6/O6,0)</f>
        <v/>
      </c>
      <c r="AD6" s="14">
        <f>IF(AA6&gt;0,AB6/Константы!$B$14,0)</f>
        <v/>
      </c>
      <c r="AE6" s="2">
        <f>IF(Z6=0,"без урона",IF(AD6&gt;Константы!$B$12,"перегиб",IF(AND(AA6&gt;0,AD6&lt;Константы!$B$13),"слабый","норма")))</f>
        <v/>
      </c>
      <c r="AF6" s="2" t="inlineStr">
        <is>
          <t>Щит в 25% здоровья на 5 с; при разрушении — разряд вокруг.</t>
        </is>
      </c>
      <c r="AG6" s="2" t="inlineStr">
        <is>
          <t>Синеватая чаша-купол над героем, по краю зигзаг.</t>
        </is>
      </c>
      <c r="AH6" s="2">
        <f>"Flat game UI rune icon, 256x256, centered on a dark slate (#1E2230) square tile. An outer "&amp;INDEX(Руны!$C$27:$C$30,MATCH(G6,Руны!$A$27:$A$30,0))&amp;", thick carved "&amp;INDEX(Руны!$F$2:$F$10,MATCH(E6,Руны!$A$2:$A$10,0))&amp;" stroke"&amp;INDEX(Руны!$G$2:$G$10,MATCH(E6,Руны!$A$2:$A$10,0))&amp;" and a "&amp;INDEX(Руны!$I$2:$I$10,MATCH(E6,Руны!$A$2:$A$10,0))&amp;" around its outside. Inside: "&amp;INDEX(Руны!$C$14:$C$23,MATCH(H6,Руны!$A$14:$A$23,0))&amp;". Chiseled straight line ends, flat vector, no perspective, faint outer glow."</f>
        <v/>
      </c>
      <c r="AI6" s="2" t="inlineStr">
        <is>
          <t>[Д] черновик</t>
        </is>
      </c>
    </row>
    <row r="7">
      <c r="A7" s="2" t="inlineStr">
        <is>
          <t>Дубовая кора</t>
        </is>
      </c>
      <c r="B7" s="2" t="inlineStr">
        <is>
          <t>Активный</t>
        </is>
      </c>
      <c r="C7" s="2" t="inlineStr">
        <is>
          <t>Выси</t>
        </is>
      </c>
      <c r="D7" s="2" t="inlineStr">
        <is>
          <t>Перун</t>
        </is>
      </c>
      <c r="E7" s="2" t="inlineStr">
        <is>
          <t>Гром</t>
        </is>
      </c>
      <c r="F7" s="2" t="inlineStr">
        <is>
          <t>Танк</t>
        </is>
      </c>
      <c r="G7" s="2" t="inlineStr">
        <is>
          <t>чары</t>
        </is>
      </c>
      <c r="H7" s="2" t="inlineStr">
        <is>
          <t>щит</t>
        </is>
      </c>
      <c r="I7" s="2" t="inlineStr">
        <is>
          <t>D</t>
        </is>
      </c>
      <c r="J7" s="2">
        <f>INDEX(Константы!$G$18:$G$22,MATCH(I7,Константы!$A$18:$A$22,0))</f>
        <v/>
      </c>
      <c r="K7" s="2">
        <f>INDEX(Константы!$F$18:$F$22,MATCH(I7,Константы!$A$18:$A$22,0))</f>
        <v/>
      </c>
      <c r="L7" s="2">
        <f>INDEX(Константы!$C$18:$C$22,MATCH(I7,Константы!$A$18:$A$22,0))</f>
        <v/>
      </c>
      <c r="M7" s="2">
        <f>G7&amp;", "&amp;H7&amp;", "&amp;E7&amp;", "&amp;F7&amp;IF(I7="S",", Божий","")</f>
        <v/>
      </c>
      <c r="N7" s="6" t="n">
        <v>25</v>
      </c>
      <c r="O7" s="6" t="n">
        <v>14</v>
      </c>
      <c r="P7" s="6" t="n">
        <v>0</v>
      </c>
      <c r="Q7" s="6" t="n">
        <v>1</v>
      </c>
      <c r="R7" s="6" t="inlineStr">
        <is>
          <t>фикс</t>
        </is>
      </c>
      <c r="S7" s="6" t="n">
        <v>0</v>
      </c>
      <c r="T7" s="6" t="n">
        <v>0</v>
      </c>
      <c r="U7" s="6" t="n">
        <v>0</v>
      </c>
      <c r="V7" s="6" t="n">
        <v>4</v>
      </c>
      <c r="W7" s="6" t="n">
        <v>0</v>
      </c>
      <c r="X7" s="2">
        <f>Q7*IF(R7="оружие ближнее",P7*Константы!$B$3,IF(R7="оружие дальнее",P7*Константы!$B$4,P7))</f>
        <v/>
      </c>
      <c r="Y7" s="15">
        <f>INDEX(Константы!$D$18:$D$22,MATCH(I7,Константы!$A$18:$A$22,0))</f>
        <v/>
      </c>
      <c r="Z7" s="16">
        <f>X7*(1+Y7)</f>
        <v/>
      </c>
      <c r="AA7" s="16">
        <f>N7*(1-INDEX(Константы!$E$18:$E$22,MATCH(I7,Константы!$A$18:$A$22,0)))</f>
        <v/>
      </c>
      <c r="AB7" s="14">
        <f>IF(AA7&gt;0,Z7/AA7,0)</f>
        <v/>
      </c>
      <c r="AC7" s="16">
        <f>IF(O7&gt;0,Z7/O7,0)</f>
        <v/>
      </c>
      <c r="AD7" s="14">
        <f>IF(AA7&gt;0,AB7/Константы!$B$14,0)</f>
        <v/>
      </c>
      <c r="AE7" s="2">
        <f>IF(Z7=0,"без урона",IF(AD7&gt;Константы!$B$12,"перегиб",IF(AND(AA7&gt;0,AD7&lt;Константы!$B$13),"слабый","норма")))</f>
        <v/>
      </c>
      <c r="AF7" s="2" t="inlineStr">
        <is>
          <t>Кожа дубеет: −30% получаемого урона на 4 с, скорость −10%.</t>
        </is>
      </c>
      <c r="AG7" s="2" t="inlineStr">
        <is>
          <t>Фигура в трещиноватой дубовой коре, искры в трещинах.</t>
        </is>
      </c>
      <c r="AH7" s="2">
        <f>"Flat game UI rune icon, 256x256, centered on a dark slate (#1E2230) square tile. An outer "&amp;INDEX(Руны!$C$27:$C$30,MATCH(G7,Руны!$A$27:$A$30,0))&amp;", thick carved "&amp;INDEX(Руны!$F$2:$F$10,MATCH(E7,Руны!$A$2:$A$10,0))&amp;" stroke"&amp;INDEX(Руны!$G$2:$G$10,MATCH(E7,Руны!$A$2:$A$10,0))&amp;" and a "&amp;INDEX(Руны!$I$2:$I$10,MATCH(E7,Руны!$A$2:$A$10,0))&amp;" around its outside. Inside: "&amp;INDEX(Руны!$C$14:$C$23,MATCH(H7,Руны!$A$14:$A$23,0))&amp;". Chiseled straight line ends, flat vector, no perspective, faint outer glow."</f>
        <v/>
      </c>
      <c r="AI7" s="2" t="inlineStr">
        <is>
          <t>[Д] черновик</t>
        </is>
      </c>
    </row>
    <row r="8">
      <c r="A8" s="2" t="inlineStr">
        <is>
          <t>Весть дозорного</t>
        </is>
      </c>
      <c r="B8" s="2" t="inlineStr">
        <is>
          <t>Активный</t>
        </is>
      </c>
      <c r="C8" s="2" t="inlineStr">
        <is>
          <t>Выси</t>
        </is>
      </c>
      <c r="D8" s="2" t="inlineStr">
        <is>
          <t>Перун</t>
        </is>
      </c>
      <c r="E8" s="2" t="inlineStr">
        <is>
          <t>Гром</t>
        </is>
      </c>
      <c r="F8" s="2" t="inlineStr">
        <is>
          <t>Хил</t>
        </is>
      </c>
      <c r="G8" s="2" t="inlineStr">
        <is>
          <t>чары</t>
        </is>
      </c>
      <c r="H8" s="2" t="inlineStr">
        <is>
          <t>лечение</t>
        </is>
      </c>
      <c r="I8" s="2" t="inlineStr">
        <is>
          <t>D</t>
        </is>
      </c>
      <c r="J8" s="2">
        <f>INDEX(Константы!$G$18:$G$22,MATCH(I8,Константы!$A$18:$A$22,0))</f>
        <v/>
      </c>
      <c r="K8" s="2">
        <f>INDEX(Константы!$F$18:$F$22,MATCH(I8,Константы!$A$18:$A$22,0))</f>
        <v/>
      </c>
      <c r="L8" s="2">
        <f>INDEX(Константы!$C$18:$C$22,MATCH(I8,Константы!$A$18:$A$22,0))</f>
        <v/>
      </c>
      <c r="M8" s="2">
        <f>G8&amp;", "&amp;H8&amp;", "&amp;E8&amp;", "&amp;F8&amp;IF(I8="S",", Божий","")</f>
        <v/>
      </c>
      <c r="N8" s="6" t="n">
        <v>25</v>
      </c>
      <c r="O8" s="6" t="n">
        <v>12</v>
      </c>
      <c r="P8" s="6" t="n">
        <v>0</v>
      </c>
      <c r="Q8" s="6" t="n">
        <v>1</v>
      </c>
      <c r="R8" s="6" t="inlineStr">
        <is>
          <t>фикс</t>
        </is>
      </c>
      <c r="S8" s="6" t="n">
        <v>8</v>
      </c>
      <c r="T8" s="6" t="n">
        <v>0</v>
      </c>
      <c r="U8" s="6" t="n">
        <v>0</v>
      </c>
      <c r="V8" s="6" t="n">
        <v>0</v>
      </c>
      <c r="W8" s="6" t="n">
        <v>0</v>
      </c>
      <c r="X8" s="2">
        <f>Q8*IF(R8="оружие ближнее",P8*Константы!$B$3,IF(R8="оружие дальнее",P8*Константы!$B$4,P8))</f>
        <v/>
      </c>
      <c r="Y8" s="15">
        <f>INDEX(Константы!$D$18:$D$22,MATCH(I8,Константы!$A$18:$A$22,0))</f>
        <v/>
      </c>
      <c r="Z8" s="16">
        <f>X8*(1+Y8)</f>
        <v/>
      </c>
      <c r="AA8" s="16">
        <f>N8*(1-INDEX(Константы!$E$18:$E$22,MATCH(I8,Константы!$A$18:$A$22,0)))</f>
        <v/>
      </c>
      <c r="AB8" s="14">
        <f>IF(AA8&gt;0,Z8/AA8,0)</f>
        <v/>
      </c>
      <c r="AC8" s="16">
        <f>IF(O8&gt;0,Z8/O8,0)</f>
        <v/>
      </c>
      <c r="AD8" s="14">
        <f>IF(AA8&gt;0,AB8/Константы!$B$14,0)</f>
        <v/>
      </c>
      <c r="AE8" s="2">
        <f>IF(Z8=0,"без урона",IF(AD8&gt;Константы!$B$12,"перегиб",IF(AND(AA8&gt;0,AD8&lt;Константы!$B$13),"слабый","норма")))</f>
        <v/>
      </c>
      <c r="AF8" s="2" t="inlineStr">
        <is>
          <t>Лечит героя и союзников рядом на 20% здоровья.</t>
        </is>
      </c>
      <c r="AG8" s="2" t="inlineStr">
        <is>
          <t>Вспышка дозорного огня, над ней поднимается росток света.</t>
        </is>
      </c>
      <c r="AH8" s="2">
        <f>"Flat game UI rune icon, 256x256, centered on a dark slate (#1E2230) square tile. An outer "&amp;INDEX(Руны!$C$27:$C$30,MATCH(G8,Руны!$A$27:$A$30,0))&amp;", thick carved "&amp;INDEX(Руны!$F$2:$F$10,MATCH(E8,Руны!$A$2:$A$10,0))&amp;" stroke"&amp;INDEX(Руны!$G$2:$G$10,MATCH(E8,Руны!$A$2:$A$10,0))&amp;" and a "&amp;INDEX(Руны!$I$2:$I$10,MATCH(E8,Руны!$A$2:$A$10,0))&amp;" around its outside. Inside: "&amp;INDEX(Руны!$C$14:$C$23,MATCH(H8,Руны!$A$14:$A$23,0))&amp;". Chiseled straight line ends, flat vector, no perspective, faint outer glow."</f>
        <v/>
      </c>
      <c r="AI8" s="2" t="inlineStr">
        <is>
          <t>[Д] черновик</t>
        </is>
      </c>
    </row>
    <row r="9">
      <c r="A9" s="2" t="inlineStr">
        <is>
          <t>Межевой дождь</t>
        </is>
      </c>
      <c r="B9" s="2" t="inlineStr">
        <is>
          <t>Активный</t>
        </is>
      </c>
      <c r="C9" s="2" t="inlineStr">
        <is>
          <t>Выси</t>
        </is>
      </c>
      <c r="D9" s="2" t="inlineStr">
        <is>
          <t>Перун</t>
        </is>
      </c>
      <c r="E9" s="2" t="inlineStr">
        <is>
          <t>Гром</t>
        </is>
      </c>
      <c r="F9" s="2" t="inlineStr">
        <is>
          <t>Хил</t>
        </is>
      </c>
      <c r="G9" s="2" t="inlineStr">
        <is>
          <t>чары</t>
        </is>
      </c>
      <c r="H9" s="2" t="inlineStr">
        <is>
          <t>лечение</t>
        </is>
      </c>
      <c r="I9" s="2" t="inlineStr">
        <is>
          <t>A</t>
        </is>
      </c>
      <c r="J9" s="2">
        <f>INDEX(Константы!$G$18:$G$22,MATCH(I9,Константы!$A$18:$A$22,0))</f>
        <v/>
      </c>
      <c r="K9" s="2">
        <f>INDEX(Константы!$F$18:$F$22,MATCH(I9,Константы!$A$18:$A$22,0))</f>
        <v/>
      </c>
      <c r="L9" s="2">
        <f>INDEX(Константы!$C$18:$C$22,MATCH(I9,Константы!$A$18:$A$22,0))</f>
        <v/>
      </c>
      <c r="M9" s="2">
        <f>G9&amp;", "&amp;H9&amp;", "&amp;E9&amp;", "&amp;F9&amp;IF(I9="S",", Божий","")</f>
        <v/>
      </c>
      <c r="N9" s="6" t="n">
        <v>35</v>
      </c>
      <c r="O9" s="6" t="n">
        <v>24</v>
      </c>
      <c r="P9" s="6" t="n">
        <v>0</v>
      </c>
      <c r="Q9" s="6" t="n">
        <v>1</v>
      </c>
      <c r="R9" s="6" t="inlineStr">
        <is>
          <t>фикс</t>
        </is>
      </c>
      <c r="S9" s="6" t="n">
        <v>6</v>
      </c>
      <c r="T9" s="6" t="n">
        <v>0</v>
      </c>
      <c r="U9" s="6" t="n">
        <v>0</v>
      </c>
      <c r="V9" s="6" t="n">
        <v>6</v>
      </c>
      <c r="W9" s="6" t="n">
        <v>0</v>
      </c>
      <c r="X9" s="2">
        <f>Q9*IF(R9="оружие ближнее",P9*Константы!$B$3,IF(R9="оружие дальнее",P9*Константы!$B$4,P9))</f>
        <v/>
      </c>
      <c r="Y9" s="15">
        <f>INDEX(Константы!$D$18:$D$22,MATCH(I9,Константы!$A$18:$A$22,0))</f>
        <v/>
      </c>
      <c r="Z9" s="16">
        <f>X9*(1+Y9)</f>
        <v/>
      </c>
      <c r="AA9" s="16">
        <f>N9*(1-INDEX(Константы!$E$18:$E$22,MATCH(I9,Константы!$A$18:$A$22,0)))</f>
        <v/>
      </c>
      <c r="AB9" s="14">
        <f>IF(AA9&gt;0,Z9/AA9,0)</f>
        <v/>
      </c>
      <c r="AC9" s="16">
        <f>IF(O9&gt;0,Z9/O9,0)</f>
        <v/>
      </c>
      <c r="AD9" s="14">
        <f>IF(AA9&gt;0,AB9/Константы!$B$14,0)</f>
        <v/>
      </c>
      <c r="AE9" s="2">
        <f>IF(Z9=0,"без урона",IF(AD9&gt;Константы!$B$12,"перегиб",IF(AND(AA9&gt;0,AD9&lt;Константы!$B$13),"слабый","норма")))</f>
        <v/>
      </c>
      <c r="AF9" s="2" t="inlineStr">
        <is>
          <t>Зона дождя с межи Высей и Омута: 5% здоровья в секунду, гасит поджоги.</t>
        </is>
      </c>
      <c r="AG9" s="2" t="inlineStr">
        <is>
          <t>Косой серебристый дождь над кругом тёмной мокрой земли.</t>
        </is>
      </c>
      <c r="AH9" s="2">
        <f>"Flat game UI rune icon, 256x256, centered on a dark slate (#1E2230) square tile. An outer "&amp;INDEX(Руны!$C$27:$C$30,MATCH(G9,Руны!$A$27:$A$30,0))&amp;", thick carved "&amp;INDEX(Руны!$F$2:$F$10,MATCH(E9,Руны!$A$2:$A$10,0))&amp;" stroke"&amp;INDEX(Руны!$G$2:$G$10,MATCH(E9,Руны!$A$2:$A$10,0))&amp;" and a "&amp;INDEX(Руны!$I$2:$I$10,MATCH(E9,Руны!$A$2:$A$10,0))&amp;" around its outside. Inside: "&amp;INDEX(Руны!$C$14:$C$23,MATCH(H9,Руны!$A$14:$A$23,0))&amp;". Chiseled straight line ends, flat vector, no perspective, faint outer glow."</f>
        <v/>
      </c>
      <c r="AI9" s="2" t="inlineStr">
        <is>
          <t>[Д] черновик</t>
        </is>
      </c>
    </row>
    <row r="10">
      <c r="A10" s="2" t="inlineStr">
        <is>
          <t>Идол-громник</t>
        </is>
      </c>
      <c r="B10" s="2" t="inlineStr">
        <is>
          <t>Активный</t>
        </is>
      </c>
      <c r="C10" s="2" t="inlineStr">
        <is>
          <t>Выси</t>
        </is>
      </c>
      <c r="D10" s="2" t="inlineStr">
        <is>
          <t>Перун</t>
        </is>
      </c>
      <c r="E10" s="2" t="inlineStr">
        <is>
          <t>Гром</t>
        </is>
      </c>
      <c r="F10" s="2" t="inlineStr">
        <is>
          <t>Призыв</t>
        </is>
      </c>
      <c r="G10" s="2" t="inlineStr">
        <is>
          <t>чары</t>
        </is>
      </c>
      <c r="H10" s="2" t="inlineStr">
        <is>
          <t>призыв</t>
        </is>
      </c>
      <c r="I10" s="2" t="inlineStr">
        <is>
          <t>D</t>
        </is>
      </c>
      <c r="J10" s="2">
        <f>INDEX(Константы!$G$18:$G$22,MATCH(I10,Константы!$A$18:$A$22,0))</f>
        <v/>
      </c>
      <c r="K10" s="2">
        <f>INDEX(Константы!$F$18:$F$22,MATCH(I10,Константы!$A$18:$A$22,0))</f>
        <v/>
      </c>
      <c r="L10" s="2">
        <f>INDEX(Константы!$C$18:$C$22,MATCH(I10,Константы!$A$18:$A$22,0))</f>
        <v/>
      </c>
      <c r="M10" s="2">
        <f>G10&amp;", "&amp;H10&amp;", "&amp;E10&amp;", "&amp;F10&amp;IF(I10="S",", Божий","")</f>
        <v/>
      </c>
      <c r="N10" s="6" t="n">
        <v>30</v>
      </c>
      <c r="O10" s="6" t="n">
        <v>16</v>
      </c>
      <c r="P10" s="6" t="n">
        <v>12</v>
      </c>
      <c r="Q10" s="6" t="n">
        <v>10</v>
      </c>
      <c r="R10" s="6" t="inlineStr">
        <is>
          <t>фикс</t>
        </is>
      </c>
      <c r="S10" s="6" t="n">
        <v>0</v>
      </c>
      <c r="T10" s="6" t="n">
        <v>15</v>
      </c>
      <c r="U10" s="6" t="n">
        <v>0</v>
      </c>
      <c r="V10" s="6" t="n">
        <v>10</v>
      </c>
      <c r="W10" s="6" t="n">
        <v>0</v>
      </c>
      <c r="X10" s="2">
        <f>Q10*IF(R10="оружие ближнее",P10*Константы!$B$3,IF(R10="оружие дальнее",P10*Константы!$B$4,P10))</f>
        <v/>
      </c>
      <c r="Y10" s="15">
        <f>INDEX(Константы!$D$18:$D$22,MATCH(I10,Константы!$A$18:$A$22,0))</f>
        <v/>
      </c>
      <c r="Z10" s="16">
        <f>X10*(1+Y10)</f>
        <v/>
      </c>
      <c r="AA10" s="16">
        <f>N10*(1-INDEX(Константы!$E$18:$E$22,MATCH(I10,Константы!$A$18:$A$22,0)))</f>
        <v/>
      </c>
      <c r="AB10" s="14">
        <f>IF(AA10&gt;0,Z10/AA10,0)</f>
        <v/>
      </c>
      <c r="AC10" s="16">
        <f>IF(O10&gt;0,Z10/O10,0)</f>
        <v/>
      </c>
      <c r="AD10" s="14">
        <f>IF(AA10&gt;0,AB10/Константы!$B$14,0)</f>
        <v/>
      </c>
      <c r="AE10" s="2">
        <f>IF(Z10=0,"без урона",IF(AD10&gt;Константы!$B$12,"перегиб",IF(AND(AA10&gt;0,AD10&lt;Константы!$B$13),"слабый","норма")))</f>
        <v/>
      </c>
      <c r="AF10" s="2" t="inlineStr">
        <is>
          <t>Резной идол на 10 с: раз в секунду бьёт молнией ближайшего врага.</t>
        </is>
      </c>
      <c r="AG10" s="2" t="inlineStr">
        <is>
          <t>Резной столб-идол с молнией в поднятой руке.</t>
        </is>
      </c>
      <c r="AH10" s="2">
        <f>"Flat game UI rune icon, 256x256, centered on a dark slate (#1E2230) square tile. An outer "&amp;INDEX(Руны!$C$27:$C$30,MATCH(G10,Руны!$A$27:$A$30,0))&amp;", thick carved "&amp;INDEX(Руны!$F$2:$F$10,MATCH(E10,Руны!$A$2:$A$10,0))&amp;" stroke"&amp;INDEX(Руны!$G$2:$G$10,MATCH(E10,Руны!$A$2:$A$10,0))&amp;" and a "&amp;INDEX(Руны!$I$2:$I$10,MATCH(E10,Руны!$A$2:$A$10,0))&amp;" around its outside. Inside: "&amp;INDEX(Руны!$C$14:$C$23,MATCH(H10,Руны!$A$14:$A$23,0))&amp;". Chiseled straight line ends, flat vector, no perspective, faint outer glow."</f>
        <v/>
      </c>
      <c r="AI10" s="2" t="inlineStr">
        <is>
          <t>[Д] черновик</t>
        </is>
      </c>
    </row>
    <row r="11">
      <c r="A11" s="2" t="inlineStr">
        <is>
          <t>Громовая стрела</t>
        </is>
      </c>
      <c r="B11" s="2" t="inlineStr">
        <is>
          <t>Активный</t>
        </is>
      </c>
      <c r="C11" s="2" t="inlineStr">
        <is>
          <t>Выси</t>
        </is>
      </c>
      <c r="D11" s="2" t="inlineStr">
        <is>
          <t>Перун</t>
        </is>
      </c>
      <c r="E11" s="2" t="inlineStr">
        <is>
          <t>Гром</t>
        </is>
      </c>
      <c r="F11" s="2" t="inlineStr">
        <is>
          <t>Призыв</t>
        </is>
      </c>
      <c r="G11" s="2" t="inlineStr">
        <is>
          <t>выстрел</t>
        </is>
      </c>
      <c r="H11" s="2" t="inlineStr">
        <is>
          <t>призыв</t>
        </is>
      </c>
      <c r="I11" s="2" t="inlineStr">
        <is>
          <t>C</t>
        </is>
      </c>
      <c r="J11" s="2">
        <f>INDEX(Константы!$G$18:$G$22,MATCH(I11,Константы!$A$18:$A$22,0))</f>
        <v/>
      </c>
      <c r="K11" s="2">
        <f>INDEX(Константы!$F$18:$F$22,MATCH(I11,Константы!$A$18:$A$22,0))</f>
        <v/>
      </c>
      <c r="L11" s="2">
        <f>INDEX(Константы!$C$18:$C$22,MATCH(I11,Константы!$A$18:$A$22,0))</f>
        <v/>
      </c>
      <c r="M11" s="2">
        <f>G11&amp;", "&amp;H11&amp;", "&amp;E11&amp;", "&amp;F11&amp;IF(I11="S",", Божий","")</f>
        <v/>
      </c>
      <c r="N11" s="6" t="n">
        <v>25</v>
      </c>
      <c r="O11" s="6" t="n">
        <v>14</v>
      </c>
      <c r="P11" s="6" t="n">
        <v>0.6</v>
      </c>
      <c r="Q11" s="6" t="n">
        <v>8</v>
      </c>
      <c r="R11" s="6" t="inlineStr">
        <is>
          <t>оружие дальнее</t>
        </is>
      </c>
      <c r="S11" s="6" t="n">
        <v>0</v>
      </c>
      <c r="T11" s="6" t="n">
        <v>25</v>
      </c>
      <c r="U11" s="6" t="n">
        <v>0</v>
      </c>
      <c r="V11" s="6" t="n">
        <v>8</v>
      </c>
      <c r="W11" s="6" t="n">
        <v>0</v>
      </c>
      <c r="X11" s="2">
        <f>Q11*IF(R11="оружие ближнее",P11*Константы!$B$3,IF(R11="оружие дальнее",P11*Константы!$B$4,P11))</f>
        <v/>
      </c>
      <c r="Y11" s="15">
        <f>INDEX(Константы!$D$18:$D$22,MATCH(I11,Константы!$A$18:$A$22,0))</f>
        <v/>
      </c>
      <c r="Z11" s="16">
        <f>X11*(1+Y11)</f>
        <v/>
      </c>
      <c r="AA11" s="16">
        <f>N11*(1-INDEX(Константы!$E$18:$E$22,MATCH(I11,Константы!$A$18:$A$22,0)))</f>
        <v/>
      </c>
      <c r="AB11" s="14">
        <f>IF(AA11&gt;0,Z11/AA11,0)</f>
        <v/>
      </c>
      <c r="AC11" s="16">
        <f>IF(O11&gt;0,Z11/O11,0)</f>
        <v/>
      </c>
      <c r="AD11" s="14">
        <f>IF(AA11&gt;0,AB11/Константы!$B$14,0)</f>
        <v/>
      </c>
      <c r="AE11" s="2">
        <f>IF(Z11=0,"без урона",IF(AD11&gt;Константы!$B$12,"перегиб",IF(AND(AA11&gt;0,AD11&lt;Константы!$B$13),"слабый","норма")))</f>
        <v/>
      </c>
      <c r="AF11" s="2" t="inlineStr">
        <is>
          <t>Выстрел оставляет в земле громовую стрелу: 8 с стреляет искрами.</t>
        </is>
      </c>
      <c r="AG11" s="2" t="inlineStr">
        <is>
          <t>Кремнёвый наконечник торчит из земли и искрит.</t>
        </is>
      </c>
      <c r="AH11" s="2">
        <f>"Flat game UI rune icon, 256x256, centered on a dark slate (#1E2230) square tile. An outer "&amp;INDEX(Руны!$C$27:$C$30,MATCH(G11,Руны!$A$27:$A$30,0))&amp;", thick carved "&amp;INDEX(Руны!$F$2:$F$10,MATCH(E11,Руны!$A$2:$A$10,0))&amp;" stroke"&amp;INDEX(Руны!$G$2:$G$10,MATCH(E11,Руны!$A$2:$A$10,0))&amp;" and a "&amp;INDEX(Руны!$I$2:$I$10,MATCH(E11,Руны!$A$2:$A$10,0))&amp;" around its outside. Inside: "&amp;INDEX(Руны!$C$14:$C$23,MATCH(H11,Руны!$A$14:$A$23,0))&amp;". Chiseled straight line ends, flat vector, no perspective, faint outer glow."</f>
        <v/>
      </c>
      <c r="AI11" s="2" t="inlineStr">
        <is>
          <t>[Д] черновик</t>
        </is>
      </c>
    </row>
    <row r="12">
      <c r="A12" s="2" t="inlineStr">
        <is>
          <t>Громоотвод</t>
        </is>
      </c>
      <c r="B12" s="2" t="inlineStr">
        <is>
          <t>Активный</t>
        </is>
      </c>
      <c r="C12" s="2" t="inlineStr">
        <is>
          <t>Выси</t>
        </is>
      </c>
      <c r="D12" s="2" t="inlineStr">
        <is>
          <t>Перун</t>
        </is>
      </c>
      <c r="E12" s="2" t="inlineStr">
        <is>
          <t>Гром</t>
        </is>
      </c>
      <c r="F12" s="2" t="inlineStr">
        <is>
          <t>Саппорт</t>
        </is>
      </c>
      <c r="G12" s="2" t="inlineStr">
        <is>
          <t>чары</t>
        </is>
      </c>
      <c r="H12" s="2" t="inlineStr">
        <is>
          <t>обездвиживание</t>
        </is>
      </c>
      <c r="I12" s="2" t="inlineStr">
        <is>
          <t>D</t>
        </is>
      </c>
      <c r="J12" s="2">
        <f>INDEX(Константы!$G$18:$G$22,MATCH(I12,Константы!$A$18:$A$22,0))</f>
        <v/>
      </c>
      <c r="K12" s="2">
        <f>INDEX(Константы!$F$18:$F$22,MATCH(I12,Константы!$A$18:$A$22,0))</f>
        <v/>
      </c>
      <c r="L12" s="2">
        <f>INDEX(Константы!$C$18:$C$22,MATCH(I12,Константы!$A$18:$A$22,0))</f>
        <v/>
      </c>
      <c r="M12" s="2">
        <f>G12&amp;", "&amp;H12&amp;", "&amp;E12&amp;", "&amp;F12&amp;IF(I12="S",", Божий","")</f>
        <v/>
      </c>
      <c r="N12" s="6" t="n">
        <v>30</v>
      </c>
      <c r="O12" s="6" t="n">
        <v>10</v>
      </c>
      <c r="P12" s="6" t="n">
        <v>45</v>
      </c>
      <c r="Q12" s="6" t="n">
        <v>1</v>
      </c>
      <c r="R12" s="6" t="inlineStr">
        <is>
          <t>фикс</t>
        </is>
      </c>
      <c r="S12" s="6" t="n">
        <v>3</v>
      </c>
      <c r="T12" s="6" t="n">
        <v>8</v>
      </c>
      <c r="U12" s="6" t="n">
        <v>1.5</v>
      </c>
      <c r="V12" s="6" t="n">
        <v>0</v>
      </c>
      <c r="W12" s="6" t="n">
        <v>0.8</v>
      </c>
      <c r="X12" s="2">
        <f>Q12*IF(R12="оружие ближнее",P12*Константы!$B$3,IF(R12="оружие дальнее",P12*Константы!$B$4,P12))</f>
        <v/>
      </c>
      <c r="Y12" s="15">
        <f>INDEX(Константы!$D$18:$D$22,MATCH(I12,Константы!$A$18:$A$22,0))</f>
        <v/>
      </c>
      <c r="Z12" s="16">
        <f>X12*(1+Y12)</f>
        <v/>
      </c>
      <c r="AA12" s="16">
        <f>N12*(1-INDEX(Константы!$E$18:$E$22,MATCH(I12,Константы!$A$18:$A$22,0)))</f>
        <v/>
      </c>
      <c r="AB12" s="14">
        <f>IF(AA12&gt;0,Z12/AA12,0)</f>
        <v/>
      </c>
      <c r="AC12" s="16">
        <f>IF(O12&gt;0,Z12/O12,0)</f>
        <v/>
      </c>
      <c r="AD12" s="14">
        <f>IF(AA12&gt;0,AB12/Константы!$B$14,0)</f>
        <v/>
      </c>
      <c r="AE12" s="2">
        <f>IF(Z12=0,"без урона",IF(AD12&gt;Константы!$B$12,"перегиб",IF(AND(AA12&gt;0,AD12&lt;Константы!$B$13),"слабый","норма")))</f>
        <v/>
      </c>
      <c r="AF12" s="2" t="inlineStr">
        <is>
          <t>Вбивает шест; через 1,5 с молния бьёт в точку, оглушение 0,8 с.</t>
        </is>
      </c>
      <c r="AG12" s="2" t="inlineStr">
        <is>
          <t>Железный шест, над ним тучи сходятся в воронку.</t>
        </is>
      </c>
      <c r="AH12" s="2">
        <f>"Flat game UI rune icon, 256x256, centered on a dark slate (#1E2230) square tile. An outer "&amp;INDEX(Руны!$C$27:$C$30,MATCH(G12,Руны!$A$27:$A$30,0))&amp;", thick carved "&amp;INDEX(Руны!$F$2:$F$10,MATCH(E12,Руны!$A$2:$A$10,0))&amp;" stroke"&amp;INDEX(Руны!$G$2:$G$10,MATCH(E12,Руны!$A$2:$A$10,0))&amp;" and a "&amp;INDEX(Руны!$I$2:$I$10,MATCH(E12,Руны!$A$2:$A$10,0))&amp;" around its outside. Inside: "&amp;INDEX(Руны!$C$14:$C$23,MATCH(H12,Руны!$A$14:$A$23,0))&amp;". Chiseled straight line ends, flat vector, no perspective, faint outer glow."</f>
        <v/>
      </c>
      <c r="AI12" s="2" t="inlineStr">
        <is>
          <t>[Д] черновик</t>
        </is>
      </c>
    </row>
    <row r="13">
      <c r="A13" s="2" t="inlineStr">
        <is>
          <t>Предгрозье</t>
        </is>
      </c>
      <c r="B13" s="2" t="inlineStr">
        <is>
          <t>Активный</t>
        </is>
      </c>
      <c r="C13" s="2" t="inlineStr">
        <is>
          <t>Выси</t>
        </is>
      </c>
      <c r="D13" s="2" t="inlineStr">
        <is>
          <t>Перун</t>
        </is>
      </c>
      <c r="E13" s="2" t="inlineStr">
        <is>
          <t>Гром</t>
        </is>
      </c>
      <c r="F13" s="2" t="inlineStr">
        <is>
          <t>Саппорт</t>
        </is>
      </c>
      <c r="G13" s="2" t="inlineStr">
        <is>
          <t>чары</t>
        </is>
      </c>
      <c r="H13" s="2" t="inlineStr">
        <is>
          <t>аура</t>
        </is>
      </c>
      <c r="I13" s="2" t="inlineStr">
        <is>
          <t>B</t>
        </is>
      </c>
      <c r="J13" s="2">
        <f>INDEX(Константы!$G$18:$G$22,MATCH(I13,Константы!$A$18:$A$22,0))</f>
        <v/>
      </c>
      <c r="K13" s="2">
        <f>INDEX(Константы!$F$18:$F$22,MATCH(I13,Константы!$A$18:$A$22,0))</f>
        <v/>
      </c>
      <c r="L13" s="2">
        <f>INDEX(Константы!$C$18:$C$22,MATCH(I13,Константы!$A$18:$A$22,0))</f>
        <v/>
      </c>
      <c r="M13" s="2">
        <f>G13&amp;", "&amp;H13&amp;", "&amp;E13&amp;", "&amp;F13&amp;IF(I13="S",", Божий","")</f>
        <v/>
      </c>
      <c r="N13" s="6" t="n">
        <v>20</v>
      </c>
      <c r="O13" s="6" t="n">
        <v>20</v>
      </c>
      <c r="P13" s="6" t="n">
        <v>0</v>
      </c>
      <c r="Q13" s="6" t="n">
        <v>1</v>
      </c>
      <c r="R13" s="6" t="inlineStr">
        <is>
          <t>фикс</t>
        </is>
      </c>
      <c r="S13" s="6" t="n">
        <v>10</v>
      </c>
      <c r="T13" s="6" t="n">
        <v>0</v>
      </c>
      <c r="U13" s="6" t="n">
        <v>0</v>
      </c>
      <c r="V13" s="6" t="n">
        <v>10</v>
      </c>
      <c r="W13" s="6" t="n">
        <v>0</v>
      </c>
      <c r="X13" s="2">
        <f>Q13*IF(R13="оружие ближнее",P13*Константы!$B$3,IF(R13="оружие дальнее",P13*Константы!$B$4,P13))</f>
        <v/>
      </c>
      <c r="Y13" s="15">
        <f>INDEX(Константы!$D$18:$D$22,MATCH(I13,Константы!$A$18:$A$22,0))</f>
        <v/>
      </c>
      <c r="Z13" s="16">
        <f>X13*(1+Y13)</f>
        <v/>
      </c>
      <c r="AA13" s="16">
        <f>N13*(1-INDEX(Константы!$E$18:$E$22,MATCH(I13,Константы!$A$18:$A$22,0)))</f>
        <v/>
      </c>
      <c r="AB13" s="14">
        <f>IF(AA13&gt;0,Z13/AA13,0)</f>
        <v/>
      </c>
      <c r="AC13" s="16">
        <f>IF(O13&gt;0,Z13/O13,0)</f>
        <v/>
      </c>
      <c r="AD13" s="14">
        <f>IF(AA13&gt;0,AB13/Константы!$B$14,0)</f>
        <v/>
      </c>
      <c r="AE13" s="2">
        <f>IF(Z13=0,"без урона",IF(AD13&gt;Константы!$B$12,"перегиб",IF(AND(AA13&gt;0,AD13&lt;Константы!$B$13),"слабый","норма")))</f>
        <v/>
      </c>
      <c r="AF13" s="2" t="inlineStr">
        <is>
          <t>Аура 10 с: союзники +15% скорости атаки, враги в круге получают метку громоотвода.</t>
        </is>
      </c>
      <c r="AG13" s="2" t="inlineStr">
        <is>
          <t>Воздух дрожит кольцом, волосы героя подняты статикой.</t>
        </is>
      </c>
      <c r="AH13" s="2">
        <f>"Flat game UI rune icon, 256x256, centered on a dark slate (#1E2230) square tile. An outer "&amp;INDEX(Руны!$C$27:$C$30,MATCH(G13,Руны!$A$27:$A$30,0))&amp;", thick carved "&amp;INDEX(Руны!$F$2:$F$10,MATCH(E13,Руны!$A$2:$A$10,0))&amp;" stroke"&amp;INDEX(Руны!$G$2:$G$10,MATCH(E13,Руны!$A$2:$A$10,0))&amp;" and a "&amp;INDEX(Руны!$I$2:$I$10,MATCH(E13,Руны!$A$2:$A$10,0))&amp;" around its outside. Inside: "&amp;INDEX(Руны!$C$14:$C$23,MATCH(H13,Руны!$A$14:$A$23,0))&amp;". Chiseled straight line ends, flat vector, no perspective, faint outer glow."</f>
        <v/>
      </c>
      <c r="AI13" s="2" t="inlineStr">
        <is>
          <t>[Д] черновик</t>
        </is>
      </c>
    </row>
    <row r="14">
      <c r="A14" s="2" t="inlineStr">
        <is>
          <t>Сполох</t>
        </is>
      </c>
      <c r="B14" s="2" t="inlineStr">
        <is>
          <t>Активный</t>
        </is>
      </c>
      <c r="C14" s="2" t="inlineStr">
        <is>
          <t>Выси</t>
        </is>
      </c>
      <c r="D14" s="2" t="inlineStr">
        <is>
          <t>Перун</t>
        </is>
      </c>
      <c r="E14" s="2" t="inlineStr">
        <is>
          <t>Гром</t>
        </is>
      </c>
      <c r="F14" s="2" t="inlineStr">
        <is>
          <t>Мобильность</t>
        </is>
      </c>
      <c r="G14" s="2" t="inlineStr">
        <is>
          <t>чары</t>
        </is>
      </c>
      <c r="H14" s="2" t="inlineStr">
        <is>
          <t>рывок</t>
        </is>
      </c>
      <c r="I14" s="2" t="inlineStr">
        <is>
          <t>D</t>
        </is>
      </c>
      <c r="J14" s="2">
        <f>INDEX(Константы!$G$18:$G$22,MATCH(I14,Константы!$A$18:$A$22,0))</f>
        <v/>
      </c>
      <c r="K14" s="2">
        <f>INDEX(Константы!$F$18:$F$22,MATCH(I14,Константы!$A$18:$A$22,0))</f>
        <v/>
      </c>
      <c r="L14" s="2">
        <f>INDEX(Константы!$C$18:$C$22,MATCH(I14,Константы!$A$18:$A$22,0))</f>
        <v/>
      </c>
      <c r="M14" s="2">
        <f>G14&amp;", "&amp;H14&amp;", "&amp;E14&amp;", "&amp;F14&amp;IF(I14="S",", Божий","")</f>
        <v/>
      </c>
      <c r="N14" s="6" t="n">
        <v>25</v>
      </c>
      <c r="O14" s="6" t="n">
        <v>7</v>
      </c>
      <c r="P14" s="6" t="n">
        <v>15</v>
      </c>
      <c r="Q14" s="6" t="n">
        <v>1</v>
      </c>
      <c r="R14" s="6" t="inlineStr">
        <is>
          <t>фикс</t>
        </is>
      </c>
      <c r="S14" s="6" t="n">
        <v>0</v>
      </c>
      <c r="T14" s="6" t="n">
        <v>6</v>
      </c>
      <c r="U14" s="6" t="n">
        <v>0</v>
      </c>
      <c r="V14" s="6" t="n">
        <v>0</v>
      </c>
      <c r="W14" s="6" t="n">
        <v>0</v>
      </c>
      <c r="X14" s="2">
        <f>Q14*IF(R14="оружие ближнее",P14*Константы!$B$3,IF(R14="оружие дальнее",P14*Константы!$B$4,P14))</f>
        <v/>
      </c>
      <c r="Y14" s="15">
        <f>INDEX(Константы!$D$18:$D$22,MATCH(I14,Константы!$A$18:$A$22,0))</f>
        <v/>
      </c>
      <c r="Z14" s="16">
        <f>X14*(1+Y14)</f>
        <v/>
      </c>
      <c r="AA14" s="16">
        <f>N14*(1-INDEX(Константы!$E$18:$E$22,MATCH(I14,Константы!$A$18:$A$22,0)))</f>
        <v/>
      </c>
      <c r="AB14" s="14">
        <f>IF(AA14&gt;0,Z14/AA14,0)</f>
        <v/>
      </c>
      <c r="AC14" s="16">
        <f>IF(O14&gt;0,Z14/O14,0)</f>
        <v/>
      </c>
      <c r="AD14" s="14">
        <f>IF(AA14&gt;0,AB14/Константы!$B$14,0)</f>
        <v/>
      </c>
      <c r="AE14" s="2">
        <f>IF(Z14=0,"без урона",IF(AD14&gt;Константы!$B$12,"перегиб",IF(AND(AA14&gt;0,AD14&lt;Константы!$B$13),"слабый","норма")))</f>
        <v/>
      </c>
      <c r="AF14" s="2" t="inlineStr">
        <is>
          <t>Рывок молнией на 6 м, 0,25 с неуязвимости, урон по пути.</t>
        </is>
      </c>
      <c r="AG14" s="2" t="inlineStr">
        <is>
          <t>Росчерк молнии, силуэт героя в конце росчерка.</t>
        </is>
      </c>
      <c r="AH14" s="2">
        <f>"Flat game UI rune icon, 256x256, centered on a dark slate (#1E2230) square tile. An outer "&amp;INDEX(Руны!$C$27:$C$30,MATCH(G14,Руны!$A$27:$A$30,0))&amp;", thick carved "&amp;INDEX(Руны!$F$2:$F$10,MATCH(E14,Руны!$A$2:$A$10,0))&amp;" stroke"&amp;INDEX(Руны!$G$2:$G$10,MATCH(E14,Руны!$A$2:$A$10,0))&amp;" and a "&amp;INDEX(Руны!$I$2:$I$10,MATCH(E14,Руны!$A$2:$A$10,0))&amp;" around its outside. Inside: "&amp;INDEX(Руны!$C$14:$C$23,MATCH(H14,Руны!$A$14:$A$23,0))&amp;". Chiseled straight line ends, flat vector, no perspective, faint outer glow."</f>
        <v/>
      </c>
      <c r="AI14" s="2" t="inlineStr">
        <is>
          <t>[Д] черновик</t>
        </is>
      </c>
    </row>
    <row r="15">
      <c r="A15" s="2" t="inlineStr">
        <is>
          <t>Перунов след</t>
        </is>
      </c>
      <c r="B15" s="2" t="inlineStr">
        <is>
          <t>Активный</t>
        </is>
      </c>
      <c r="C15" s="2" t="inlineStr">
        <is>
          <t>Выси</t>
        </is>
      </c>
      <c r="D15" s="2" t="inlineStr">
        <is>
          <t>Перун</t>
        </is>
      </c>
      <c r="E15" s="2" t="inlineStr">
        <is>
          <t>Гром</t>
        </is>
      </c>
      <c r="F15" s="2" t="inlineStr">
        <is>
          <t>Мобильность</t>
        </is>
      </c>
      <c r="G15" s="2" t="inlineStr">
        <is>
          <t>удар</t>
        </is>
      </c>
      <c r="H15" s="2" t="inlineStr">
        <is>
          <t>рывок</t>
        </is>
      </c>
      <c r="I15" s="2" t="inlineStr">
        <is>
          <t>S</t>
        </is>
      </c>
      <c r="J15" s="2">
        <f>INDEX(Константы!$G$18:$G$22,MATCH(I15,Константы!$A$18:$A$22,0))</f>
        <v/>
      </c>
      <c r="K15" s="2">
        <f>INDEX(Константы!$F$18:$F$22,MATCH(I15,Константы!$A$18:$A$22,0))</f>
        <v/>
      </c>
      <c r="L15" s="2">
        <f>INDEX(Константы!$C$18:$C$22,MATCH(I15,Константы!$A$18:$A$22,0))</f>
        <v/>
      </c>
      <c r="M15" s="2">
        <f>G15&amp;", "&amp;H15&amp;", "&amp;E15&amp;", "&amp;F15&amp;IF(I15="S",", Божий","")</f>
        <v/>
      </c>
      <c r="N15" s="6" t="n">
        <v>30</v>
      </c>
      <c r="O15" s="6" t="n">
        <v>12</v>
      </c>
      <c r="P15" s="6" t="n">
        <v>2.5</v>
      </c>
      <c r="Q15" s="6" t="n">
        <v>1</v>
      </c>
      <c r="R15" s="6" t="inlineStr">
        <is>
          <t>оружие ближнее</t>
        </is>
      </c>
      <c r="S15" s="6" t="n">
        <v>3</v>
      </c>
      <c r="T15" s="6" t="n">
        <v>10</v>
      </c>
      <c r="U15" s="6" t="n">
        <v>0.8</v>
      </c>
      <c r="V15" s="6" t="n">
        <v>0</v>
      </c>
      <c r="W15" s="6" t="n">
        <v>0.5</v>
      </c>
      <c r="X15" s="2">
        <f>Q15*IF(R15="оружие ближнее",P15*Константы!$B$3,IF(R15="оружие дальнее",P15*Константы!$B$4,P15))</f>
        <v/>
      </c>
      <c r="Y15" s="15">
        <f>INDEX(Константы!$D$18:$D$22,MATCH(I15,Константы!$A$18:$A$22,0))</f>
        <v/>
      </c>
      <c r="Z15" s="16">
        <f>X15*(1+Y15)</f>
        <v/>
      </c>
      <c r="AA15" s="16">
        <f>N15*(1-INDEX(Константы!$E$18:$E$22,MATCH(I15,Константы!$A$18:$A$22,0)))</f>
        <v/>
      </c>
      <c r="AB15" s="14">
        <f>IF(AA15&gt;0,Z15/AA15,0)</f>
        <v/>
      </c>
      <c r="AC15" s="16">
        <f>IF(O15&gt;0,Z15/O15,0)</f>
        <v/>
      </c>
      <c r="AD15" s="14">
        <f>IF(AA15&gt;0,AB15/Константы!$B$14,0)</f>
        <v/>
      </c>
      <c r="AE15" s="2">
        <f>IF(Z15=0,"без урона",IF(AD15&gt;Константы!$B$12,"перегиб",IF(AND(AA15&gt;0,AD15&lt;Константы!$B$13),"слабый","норма")))</f>
        <v/>
      </c>
      <c r="AF15" s="2" t="inlineStr">
        <is>
          <t>Рывок 10 м с ударом; через 0,8 с молния бьёт по всему пройденному следу.</t>
        </is>
      </c>
      <c r="AG15" s="2" t="inlineStr">
        <is>
          <t>Прямая борозда в камне, по ней с неба падает ряд молний.</t>
        </is>
      </c>
      <c r="AH15" s="2">
        <f>"Flat game UI rune icon, 256x256, centered on a dark slate (#1E2230) square tile. An outer "&amp;INDEX(Руны!$C$27:$C$30,MATCH(G15,Руны!$A$27:$A$30,0))&amp;", thick carved "&amp;INDEX(Руны!$F$2:$F$10,MATCH(E15,Руны!$A$2:$A$10,0))&amp;" stroke"&amp;INDEX(Руны!$G$2:$G$10,MATCH(E15,Руны!$A$2:$A$10,0))&amp;" and a "&amp;INDEX(Руны!$I$2:$I$10,MATCH(E15,Руны!$A$2:$A$10,0))&amp;" around its outside. Inside: "&amp;INDEX(Руны!$C$14:$C$23,MATCH(H15,Руны!$A$14:$A$23,0))&amp;". Chiseled straight line ends, flat vector, no perspective, faint outer glow."</f>
        <v/>
      </c>
      <c r="AI15" s="2" t="inlineStr">
        <is>
          <t>[Д] черновик</t>
        </is>
      </c>
    </row>
    <row r="16">
      <c r="A16" s="2" t="inlineStr">
        <is>
          <t>Рог тура</t>
        </is>
      </c>
      <c r="B16" s="2" t="inlineStr">
        <is>
          <t>Активный</t>
        </is>
      </c>
      <c r="C16" s="2" t="inlineStr">
        <is>
          <t>Омут</t>
        </is>
      </c>
      <c r="D16" s="2" t="inlineStr">
        <is>
          <t>Велес</t>
        </is>
      </c>
      <c r="E16" s="2" t="inlineStr">
        <is>
          <t>Ртуть</t>
        </is>
      </c>
      <c r="F16" s="2" t="inlineStr">
        <is>
          <t>Мили-ДД</t>
        </is>
      </c>
      <c r="G16" s="2" t="inlineStr">
        <is>
          <t>удар</t>
        </is>
      </c>
      <c r="H16" s="2" t="inlineStr">
        <is>
          <t>площадь</t>
        </is>
      </c>
      <c r="I16" s="2" t="inlineStr">
        <is>
          <t>D</t>
        </is>
      </c>
      <c r="J16" s="2">
        <f>INDEX(Константы!$G$18:$G$22,MATCH(I16,Константы!$A$18:$A$22,0))</f>
        <v/>
      </c>
      <c r="K16" s="2">
        <f>INDEX(Константы!$F$18:$F$22,MATCH(I16,Константы!$A$18:$A$22,0))</f>
        <v/>
      </c>
      <c r="L16" s="2">
        <f>INDEX(Константы!$C$18:$C$22,MATCH(I16,Константы!$A$18:$A$22,0))</f>
        <v/>
      </c>
      <c r="M16" s="2">
        <f>G16&amp;", "&amp;H16&amp;", "&amp;E16&amp;", "&amp;F16&amp;IF(I16="S",", Божий","")</f>
        <v/>
      </c>
      <c r="N16" s="6" t="n">
        <v>20</v>
      </c>
      <c r="O16" s="6" t="n">
        <v>5</v>
      </c>
      <c r="P16" s="6" t="n">
        <v>1.6</v>
      </c>
      <c r="Q16" s="6" t="n">
        <v>1</v>
      </c>
      <c r="R16" s="6" t="inlineStr">
        <is>
          <t>оружие ближнее</t>
        </is>
      </c>
      <c r="S16" s="6" t="n">
        <v>3</v>
      </c>
      <c r="T16" s="6" t="n">
        <v>0</v>
      </c>
      <c r="U16" s="6" t="n">
        <v>0</v>
      </c>
      <c r="V16" s="6" t="n">
        <v>0</v>
      </c>
      <c r="W16" s="6" t="n">
        <v>0.2</v>
      </c>
      <c r="X16" s="2">
        <f>Q16*IF(R16="оружие ближнее",P16*Константы!$B$3,IF(R16="оружие дальнее",P16*Константы!$B$4,P16))</f>
        <v/>
      </c>
      <c r="Y16" s="15">
        <f>INDEX(Константы!$D$18:$D$22,MATCH(I16,Константы!$A$18:$A$22,0))</f>
        <v/>
      </c>
      <c r="Z16" s="16">
        <f>X16*(1+Y16)</f>
        <v/>
      </c>
      <c r="AA16" s="16">
        <f>N16*(1-INDEX(Константы!$E$18:$E$22,MATCH(I16,Константы!$A$18:$A$22,0)))</f>
        <v/>
      </c>
      <c r="AB16" s="14">
        <f>IF(AA16&gt;0,Z16/AA16,0)</f>
        <v/>
      </c>
      <c r="AC16" s="16">
        <f>IF(O16&gt;0,Z16/O16,0)</f>
        <v/>
      </c>
      <c r="AD16" s="14">
        <f>IF(AA16&gt;0,AB16/Константы!$B$14,0)</f>
        <v/>
      </c>
      <c r="AE16" s="2">
        <f>IF(Z16=0,"без урона",IF(AD16&gt;Константы!$B$12,"перегиб",IF(AND(AA16&gt;0,AD16&lt;Константы!$B$13),"слабый","норма")))</f>
        <v/>
      </c>
      <c r="AF16" s="2" t="inlineStr">
        <is>
          <t>Удар оружием с бычьим толчком: отбрасывает врагов на 2 м.</t>
        </is>
      </c>
      <c r="AG16" s="2" t="inlineStr">
        <is>
          <t>Призрачные рога тура из ртути за спиной героя.</t>
        </is>
      </c>
      <c r="AH16" s="2">
        <f>"Flat game UI rune icon, 256x256, centered on a dark slate (#1E2230) square tile. An outer "&amp;INDEX(Руны!$C$27:$C$30,MATCH(G16,Руны!$A$27:$A$30,0))&amp;", thick carved "&amp;INDEX(Руны!$F$2:$F$10,MATCH(E16,Руны!$A$2:$A$10,0))&amp;" stroke"&amp;INDEX(Руны!$G$2:$G$10,MATCH(E16,Руны!$A$2:$A$10,0))&amp;" and a "&amp;INDEX(Руны!$I$2:$I$10,MATCH(E16,Руны!$A$2:$A$10,0))&amp;" around its outside. Inside: "&amp;INDEX(Руны!$C$14:$C$23,MATCH(H16,Руны!$A$14:$A$23,0))&amp;". Chiseled straight line ends, flat vector, no perspective, faint outer glow."</f>
        <v/>
      </c>
      <c r="AI16" s="2" t="inlineStr">
        <is>
          <t>[Д] черновик</t>
        </is>
      </c>
    </row>
    <row r="17">
      <c r="A17" s="2" t="inlineStr">
        <is>
          <t>Копыто</t>
        </is>
      </c>
      <c r="B17" s="2" t="inlineStr">
        <is>
          <t>Активный</t>
        </is>
      </c>
      <c r="C17" s="2" t="inlineStr">
        <is>
          <t>Омут</t>
        </is>
      </c>
      <c r="D17" s="2" t="inlineStr">
        <is>
          <t>Велес</t>
        </is>
      </c>
      <c r="E17" s="2" t="inlineStr">
        <is>
          <t>Ртуть</t>
        </is>
      </c>
      <c r="F17" s="2" t="inlineStr">
        <is>
          <t>Мили-ДД</t>
        </is>
      </c>
      <c r="G17" s="2" t="inlineStr">
        <is>
          <t>удар</t>
        </is>
      </c>
      <c r="H17" s="2" t="inlineStr">
        <is>
          <t>обездвиживание</t>
        </is>
      </c>
      <c r="I17" s="2" t="inlineStr">
        <is>
          <t>C</t>
        </is>
      </c>
      <c r="J17" s="2">
        <f>INDEX(Константы!$G$18:$G$22,MATCH(I17,Константы!$A$18:$A$22,0))</f>
        <v/>
      </c>
      <c r="K17" s="2">
        <f>INDEX(Константы!$F$18:$F$22,MATCH(I17,Константы!$A$18:$A$22,0))</f>
        <v/>
      </c>
      <c r="L17" s="2">
        <f>INDEX(Константы!$C$18:$C$22,MATCH(I17,Константы!$A$18:$A$22,0))</f>
        <v/>
      </c>
      <c r="M17" s="2">
        <f>G17&amp;", "&amp;H17&amp;", "&amp;E17&amp;", "&amp;F17&amp;IF(I17="S",", Божий","")</f>
        <v/>
      </c>
      <c r="N17" s="6" t="n">
        <v>25</v>
      </c>
      <c r="O17" s="6" t="n">
        <v>8</v>
      </c>
      <c r="P17" s="6" t="n">
        <v>2.2</v>
      </c>
      <c r="Q17" s="6" t="n">
        <v>1</v>
      </c>
      <c r="R17" s="6" t="inlineStr">
        <is>
          <t>оружие ближнее</t>
        </is>
      </c>
      <c r="S17" s="6" t="n">
        <v>4</v>
      </c>
      <c r="T17" s="6" t="n">
        <v>0</v>
      </c>
      <c r="U17" s="6" t="n">
        <v>0.3</v>
      </c>
      <c r="V17" s="6" t="n">
        <v>0</v>
      </c>
      <c r="W17" s="6" t="n">
        <v>0.8</v>
      </c>
      <c r="X17" s="2">
        <f>Q17*IF(R17="оружие ближнее",P17*Константы!$B$3,IF(R17="оружие дальнее",P17*Константы!$B$4,P17))</f>
        <v/>
      </c>
      <c r="Y17" s="15">
        <f>INDEX(Константы!$D$18:$D$22,MATCH(I17,Константы!$A$18:$A$22,0))</f>
        <v/>
      </c>
      <c r="Z17" s="16">
        <f>X17*(1+Y17)</f>
        <v/>
      </c>
      <c r="AA17" s="16">
        <f>N17*(1-INDEX(Константы!$E$18:$E$22,MATCH(I17,Константы!$A$18:$A$22,0)))</f>
        <v/>
      </c>
      <c r="AB17" s="14">
        <f>IF(AA17&gt;0,Z17/AA17,0)</f>
        <v/>
      </c>
      <c r="AC17" s="16">
        <f>IF(O17&gt;0,Z17/O17,0)</f>
        <v/>
      </c>
      <c r="AD17" s="14">
        <f>IF(AA17&gt;0,AB17/Константы!$B$14,0)</f>
        <v/>
      </c>
      <c r="AE17" s="2">
        <f>IF(Z17=0,"без урона",IF(AD17&gt;Константы!$B$12,"перегиб",IF(AND(AA17&gt;0,AD17&lt;Константы!$B$13),"слабый","норма")))</f>
        <v/>
      </c>
      <c r="AF17" s="2" t="inlineStr">
        <is>
          <t>Топот: ртуть под врагами густеет, они вязнут на 0,8 с.</t>
        </is>
      </c>
      <c r="AG17" s="2" t="inlineStr">
        <is>
          <t>Серебристая лужа вокруг следа копыта, враги по колено в ней.</t>
        </is>
      </c>
      <c r="AH17" s="2">
        <f>"Flat game UI rune icon, 256x256, centered on a dark slate (#1E2230) square tile. An outer "&amp;INDEX(Руны!$C$27:$C$30,MATCH(G17,Руны!$A$27:$A$30,0))&amp;", thick carved "&amp;INDEX(Руны!$F$2:$F$10,MATCH(E17,Руны!$A$2:$A$10,0))&amp;" stroke"&amp;INDEX(Руны!$G$2:$G$10,MATCH(E17,Руны!$A$2:$A$10,0))&amp;" and a "&amp;INDEX(Руны!$I$2:$I$10,MATCH(E17,Руны!$A$2:$A$10,0))&amp;" around its outside. Inside: "&amp;INDEX(Руны!$C$14:$C$23,MATCH(H17,Руны!$A$14:$A$23,0))&amp;". Chiseled straight line ends, flat vector, no perspective, faint outer glow."</f>
        <v/>
      </c>
      <c r="AI17" s="2" t="inlineStr">
        <is>
          <t>[Д] черновик</t>
        </is>
      </c>
    </row>
    <row r="18">
      <c r="A18" s="2" t="inlineStr">
        <is>
          <t>Ртутная капля</t>
        </is>
      </c>
      <c r="B18" s="2" t="inlineStr">
        <is>
          <t>Активный</t>
        </is>
      </c>
      <c r="C18" s="2" t="inlineStr">
        <is>
          <t>Омут</t>
        </is>
      </c>
      <c r="D18" s="2" t="inlineStr">
        <is>
          <t>Велес</t>
        </is>
      </c>
      <c r="E18" s="2" t="inlineStr">
        <is>
          <t>Ртуть</t>
        </is>
      </c>
      <c r="F18" s="2" t="inlineStr">
        <is>
          <t>Ренж-ДД</t>
        </is>
      </c>
      <c r="G18" s="2" t="inlineStr">
        <is>
          <t>выстрел</t>
        </is>
      </c>
      <c r="H18" s="2" t="inlineStr">
        <is>
          <t>снаряд</t>
        </is>
      </c>
      <c r="I18" s="2" t="inlineStr">
        <is>
          <t>D</t>
        </is>
      </c>
      <c r="J18" s="2">
        <f>INDEX(Константы!$G$18:$G$22,MATCH(I18,Константы!$A$18:$A$22,0))</f>
        <v/>
      </c>
      <c r="K18" s="2">
        <f>INDEX(Константы!$F$18:$F$22,MATCH(I18,Константы!$A$18:$A$22,0))</f>
        <v/>
      </c>
      <c r="L18" s="2">
        <f>INDEX(Константы!$C$18:$C$22,MATCH(I18,Константы!$A$18:$A$22,0))</f>
        <v/>
      </c>
      <c r="M18" s="2">
        <f>G18&amp;", "&amp;H18&amp;", "&amp;E18&amp;", "&amp;F18&amp;IF(I18="S",", Божий","")</f>
        <v/>
      </c>
      <c r="N18" s="6" t="n">
        <v>10</v>
      </c>
      <c r="O18" s="6" t="n">
        <v>2</v>
      </c>
      <c r="P18" s="6" t="n">
        <v>1.2</v>
      </c>
      <c r="Q18" s="6" t="n">
        <v>1</v>
      </c>
      <c r="R18" s="6" t="inlineStr">
        <is>
          <t>оружие дальнее</t>
        </is>
      </c>
      <c r="S18" s="6" t="n">
        <v>2</v>
      </c>
      <c r="T18" s="6" t="n">
        <v>35</v>
      </c>
      <c r="U18" s="6" t="n">
        <v>0</v>
      </c>
      <c r="V18" s="6" t="n">
        <v>0</v>
      </c>
      <c r="W18" s="6" t="n">
        <v>0</v>
      </c>
      <c r="X18" s="2">
        <f>Q18*IF(R18="оружие ближнее",P18*Константы!$B$3,IF(R18="оружие дальнее",P18*Константы!$B$4,P18))</f>
        <v/>
      </c>
      <c r="Y18" s="15">
        <f>INDEX(Константы!$D$18:$D$22,MATCH(I18,Константы!$A$18:$A$22,0))</f>
        <v/>
      </c>
      <c r="Z18" s="16">
        <f>X18*(1+Y18)</f>
        <v/>
      </c>
      <c r="AA18" s="16">
        <f>N18*(1-INDEX(Константы!$E$18:$E$22,MATCH(I18,Константы!$A$18:$A$22,0)))</f>
        <v/>
      </c>
      <c r="AB18" s="14">
        <f>IF(AA18&gt;0,Z18/AA18,0)</f>
        <v/>
      </c>
      <c r="AC18" s="16">
        <f>IF(O18&gt;0,Z18/O18,0)</f>
        <v/>
      </c>
      <c r="AD18" s="14">
        <f>IF(AA18&gt;0,AB18/Константы!$B$14,0)</f>
        <v/>
      </c>
      <c r="AE18" s="2">
        <f>IF(Z18=0,"без урона",IF(AD18&gt;Константы!$B$12,"перегиб",IF(AND(AA18&gt;0,AD18&lt;Константы!$B$13),"слабый","норма")))</f>
        <v/>
      </c>
      <c r="AF18" s="2" t="inlineStr">
        <is>
          <t>Тяжёлая капля ртути: разбивается о врага на брызги в радиусе 2 м.</t>
        </is>
      </c>
      <c r="AG18" s="2" t="inlineStr">
        <is>
          <t>Капля жидкого серебра, за ней шлейф брызг.</t>
        </is>
      </c>
      <c r="AH18" s="2">
        <f>"Flat game UI rune icon, 256x256, centered on a dark slate (#1E2230) square tile. An outer "&amp;INDEX(Руны!$C$27:$C$30,MATCH(G18,Руны!$A$27:$A$30,0))&amp;", thick carved "&amp;INDEX(Руны!$F$2:$F$10,MATCH(E18,Руны!$A$2:$A$10,0))&amp;" stroke"&amp;INDEX(Руны!$G$2:$G$10,MATCH(E18,Руны!$A$2:$A$10,0))&amp;" and a "&amp;INDEX(Руны!$I$2:$I$10,MATCH(E18,Руны!$A$2:$A$10,0))&amp;" around its outside. Inside: "&amp;INDEX(Руны!$C$14:$C$23,MATCH(H18,Руны!$A$14:$A$23,0))&amp;". Chiseled straight line ends, flat vector, no perspective, faint outer glow."</f>
        <v/>
      </c>
      <c r="AI18" s="2" t="inlineStr">
        <is>
          <t>[Д] черновик</t>
        </is>
      </c>
    </row>
    <row r="19">
      <c r="A19" s="2" t="inlineStr">
        <is>
          <t>Тяжёлый зрак</t>
        </is>
      </c>
      <c r="B19" s="2" t="inlineStr">
        <is>
          <t>Активный</t>
        </is>
      </c>
      <c r="C19" s="2" t="inlineStr">
        <is>
          <t>Омут</t>
        </is>
      </c>
      <c r="D19" s="2" t="inlineStr">
        <is>
          <t>Велес</t>
        </is>
      </c>
      <c r="E19" s="2" t="inlineStr">
        <is>
          <t>Ртуть</t>
        </is>
      </c>
      <c r="F19" s="2" t="inlineStr">
        <is>
          <t>Ренж-ДД</t>
        </is>
      </c>
      <c r="G19" s="2" t="inlineStr">
        <is>
          <t>чары</t>
        </is>
      </c>
      <c r="H19" s="2" t="inlineStr">
        <is>
          <t>снаряд</t>
        </is>
      </c>
      <c r="I19" s="2" t="inlineStr">
        <is>
          <t>A</t>
        </is>
      </c>
      <c r="J19" s="2">
        <f>INDEX(Константы!$G$18:$G$22,MATCH(I19,Константы!$A$18:$A$22,0))</f>
        <v/>
      </c>
      <c r="K19" s="2">
        <f>INDEX(Константы!$F$18:$F$22,MATCH(I19,Константы!$A$18:$A$22,0))</f>
        <v/>
      </c>
      <c r="L19" s="2">
        <f>INDEX(Константы!$C$18:$C$22,MATCH(I19,Константы!$A$18:$A$22,0))</f>
        <v/>
      </c>
      <c r="M19" s="2">
        <f>G19&amp;", "&amp;H19&amp;", "&amp;E19&amp;", "&amp;F19&amp;IF(I19="S",", Божий","")</f>
        <v/>
      </c>
      <c r="N19" s="6" t="n">
        <v>30</v>
      </c>
      <c r="O19" s="6" t="n">
        <v>10</v>
      </c>
      <c r="P19" s="6" t="n">
        <v>120</v>
      </c>
      <c r="Q19" s="6" t="n">
        <v>1</v>
      </c>
      <c r="R19" s="6" t="inlineStr">
        <is>
          <t>фикс</t>
        </is>
      </c>
      <c r="S19" s="6" t="n">
        <v>0</v>
      </c>
      <c r="T19" s="6" t="n">
        <v>40</v>
      </c>
      <c r="U19" s="6" t="n">
        <v>0</v>
      </c>
      <c r="V19" s="6" t="n">
        <v>0</v>
      </c>
      <c r="W19" s="6" t="n">
        <v>0</v>
      </c>
      <c r="X19" s="2">
        <f>Q19*IF(R19="оружие ближнее",P19*Константы!$B$3,IF(R19="оружие дальнее",P19*Константы!$B$4,P19))</f>
        <v/>
      </c>
      <c r="Y19" s="15">
        <f>INDEX(Константы!$D$18:$D$22,MATCH(I19,Константы!$A$18:$A$22,0))</f>
        <v/>
      </c>
      <c r="Z19" s="16">
        <f>X19*(1+Y19)</f>
        <v/>
      </c>
      <c r="AA19" s="16">
        <f>N19*(1-INDEX(Константы!$E$18:$E$22,MATCH(I19,Константы!$A$18:$A$22,0)))</f>
        <v/>
      </c>
      <c r="AB19" s="14">
        <f>IF(AA19&gt;0,Z19/AA19,0)</f>
        <v/>
      </c>
      <c r="AC19" s="16">
        <f>IF(O19&gt;0,Z19/O19,0)</f>
        <v/>
      </c>
      <c r="AD19" s="14">
        <f>IF(AA19&gt;0,AB19/Константы!$B$14,0)</f>
        <v/>
      </c>
      <c r="AE19" s="2">
        <f>IF(Z19=0,"без урона",IF(AD19&gt;Константы!$B$12,"перегиб",IF(AND(AA19&gt;0,AD19&lt;Константы!$B$13),"слабый","норма")))</f>
        <v/>
      </c>
      <c r="AF19" s="2" t="inlineStr">
        <is>
          <t>Медленный шар-зрак из омута; урон растёт на 20% за каждый метр пути до 5 м.</t>
        </is>
      </c>
      <c r="AG19" s="2" t="inlineStr">
        <is>
          <t>Круглый ртутный глаз с отражением неба, летящий низко над водой.</t>
        </is>
      </c>
      <c r="AH19" s="2">
        <f>"Flat game UI rune icon, 256x256, centered on a dark slate (#1E2230) square tile. An outer "&amp;INDEX(Руны!$C$27:$C$30,MATCH(G19,Руны!$A$27:$A$30,0))&amp;", thick carved "&amp;INDEX(Руны!$F$2:$F$10,MATCH(E19,Руны!$A$2:$A$10,0))&amp;" stroke"&amp;INDEX(Руны!$G$2:$G$10,MATCH(E19,Руны!$A$2:$A$10,0))&amp;" and a "&amp;INDEX(Руны!$I$2:$I$10,MATCH(E19,Руны!$A$2:$A$10,0))&amp;" around its outside. Inside: "&amp;INDEX(Руны!$C$14:$C$23,MATCH(H19,Руны!$A$14:$A$23,0))&amp;". Chiseled straight line ends, flat vector, no perspective, faint outer glow."</f>
        <v/>
      </c>
      <c r="AI19" s="2" t="inlineStr">
        <is>
          <t>[Д] черновик</t>
        </is>
      </c>
    </row>
    <row r="20">
      <c r="A20" s="2" t="inlineStr">
        <is>
          <t>Шкура стада</t>
        </is>
      </c>
      <c r="B20" s="2" t="inlineStr">
        <is>
          <t>Активный</t>
        </is>
      </c>
      <c r="C20" s="2" t="inlineStr">
        <is>
          <t>Омут</t>
        </is>
      </c>
      <c r="D20" s="2" t="inlineStr">
        <is>
          <t>Велес</t>
        </is>
      </c>
      <c r="E20" s="2" t="inlineStr">
        <is>
          <t>Ртуть</t>
        </is>
      </c>
      <c r="F20" s="2" t="inlineStr">
        <is>
          <t>Танк</t>
        </is>
      </c>
      <c r="G20" s="2" t="inlineStr">
        <is>
          <t>чары</t>
        </is>
      </c>
      <c r="H20" s="2" t="inlineStr">
        <is>
          <t>щит</t>
        </is>
      </c>
      <c r="I20" s="2" t="inlineStr">
        <is>
          <t>D</t>
        </is>
      </c>
      <c r="J20" s="2">
        <f>INDEX(Константы!$G$18:$G$22,MATCH(I20,Константы!$A$18:$A$22,0))</f>
        <v/>
      </c>
      <c r="K20" s="2">
        <f>INDEX(Константы!$F$18:$F$22,MATCH(I20,Константы!$A$18:$A$22,0))</f>
        <v/>
      </c>
      <c r="L20" s="2">
        <f>INDEX(Константы!$C$18:$C$22,MATCH(I20,Константы!$A$18:$A$22,0))</f>
        <v/>
      </c>
      <c r="M20" s="2">
        <f>G20&amp;", "&amp;H20&amp;", "&amp;E20&amp;", "&amp;F20&amp;IF(I20="S",", Божий","")</f>
        <v/>
      </c>
      <c r="N20" s="6" t="n">
        <v>25</v>
      </c>
      <c r="O20" s="6" t="n">
        <v>15</v>
      </c>
      <c r="P20" s="6" t="n">
        <v>0</v>
      </c>
      <c r="Q20" s="6" t="n">
        <v>1</v>
      </c>
      <c r="R20" s="6" t="inlineStr">
        <is>
          <t>фикс</t>
        </is>
      </c>
      <c r="S20" s="6" t="n">
        <v>0</v>
      </c>
      <c r="T20" s="6" t="n">
        <v>0</v>
      </c>
      <c r="U20" s="6" t="n">
        <v>0</v>
      </c>
      <c r="V20" s="6" t="n">
        <v>5</v>
      </c>
      <c r="W20" s="6" t="n">
        <v>0</v>
      </c>
      <c r="X20" s="2">
        <f>Q20*IF(R20="оружие ближнее",P20*Константы!$B$3,IF(R20="оружие дальнее",P20*Константы!$B$4,P20))</f>
        <v/>
      </c>
      <c r="Y20" s="15">
        <f>INDEX(Константы!$D$18:$D$22,MATCH(I20,Константы!$A$18:$A$22,0))</f>
        <v/>
      </c>
      <c r="Z20" s="16">
        <f>X20*(1+Y20)</f>
        <v/>
      </c>
      <c r="AA20" s="16">
        <f>N20*(1-INDEX(Константы!$E$18:$E$22,MATCH(I20,Константы!$A$18:$A$22,0)))</f>
        <v/>
      </c>
      <c r="AB20" s="14">
        <f>IF(AA20&gt;0,Z20/AA20,0)</f>
        <v/>
      </c>
      <c r="AC20" s="16">
        <f>IF(O20&gt;0,Z20/O20,0)</f>
        <v/>
      </c>
      <c r="AD20" s="14">
        <f>IF(AA20&gt;0,AB20/Константы!$B$14,0)</f>
        <v/>
      </c>
      <c r="AE20" s="2">
        <f>IF(Z20=0,"без урона",IF(AD20&gt;Константы!$B$12,"перегиб",IF(AND(AA20&gt;0,AD20&lt;Константы!$B$13),"слабый","норма")))</f>
        <v/>
      </c>
      <c r="AF20" s="2" t="inlineStr">
        <is>
          <t>Щит 20% здоровья; пока цел, призванные звери рядом получают −30% урона.</t>
        </is>
      </c>
      <c r="AG20" s="2" t="inlineStr">
        <is>
          <t>Мохнатая серебристая шкура накинута на плечи героя.</t>
        </is>
      </c>
      <c r="AH20" s="2">
        <f>"Flat game UI rune icon, 256x256, centered on a dark slate (#1E2230) square tile. An outer "&amp;INDEX(Руны!$C$27:$C$30,MATCH(G20,Руны!$A$27:$A$30,0))&amp;", thick carved "&amp;INDEX(Руны!$F$2:$F$10,MATCH(E20,Руны!$A$2:$A$10,0))&amp;" stroke"&amp;INDEX(Руны!$G$2:$G$10,MATCH(E20,Руны!$A$2:$A$10,0))&amp;" and a "&amp;INDEX(Руны!$I$2:$I$10,MATCH(E20,Руны!$A$2:$A$10,0))&amp;" around its outside. Inside: "&amp;INDEX(Руны!$C$14:$C$23,MATCH(H20,Руны!$A$14:$A$23,0))&amp;". Chiseled straight line ends, flat vector, no perspective, faint outer glow."</f>
        <v/>
      </c>
      <c r="AI20" s="2" t="inlineStr">
        <is>
          <t>[Д] черновик</t>
        </is>
      </c>
    </row>
    <row r="21">
      <c r="A21" s="2" t="inlineStr">
        <is>
          <t>Ртутная кожа</t>
        </is>
      </c>
      <c r="B21" s="2" t="inlineStr">
        <is>
          <t>Активный</t>
        </is>
      </c>
      <c r="C21" s="2" t="inlineStr">
        <is>
          <t>Омут</t>
        </is>
      </c>
      <c r="D21" s="2" t="inlineStr">
        <is>
          <t>Велес</t>
        </is>
      </c>
      <c r="E21" s="2" t="inlineStr">
        <is>
          <t>Ртуть</t>
        </is>
      </c>
      <c r="F21" s="2" t="inlineStr">
        <is>
          <t>Танк</t>
        </is>
      </c>
      <c r="G21" s="2" t="inlineStr">
        <is>
          <t>чары</t>
        </is>
      </c>
      <c r="H21" s="2" t="inlineStr">
        <is>
          <t>щит</t>
        </is>
      </c>
      <c r="I21" s="2" t="inlineStr">
        <is>
          <t>B</t>
        </is>
      </c>
      <c r="J21" s="2">
        <f>INDEX(Константы!$G$18:$G$22,MATCH(I21,Константы!$A$18:$A$22,0))</f>
        <v/>
      </c>
      <c r="K21" s="2">
        <f>INDEX(Константы!$F$18:$F$22,MATCH(I21,Константы!$A$18:$A$22,0))</f>
        <v/>
      </c>
      <c r="L21" s="2">
        <f>INDEX(Константы!$C$18:$C$22,MATCH(I21,Константы!$A$18:$A$22,0))</f>
        <v/>
      </c>
      <c r="M21" s="2">
        <f>G21&amp;", "&amp;H21&amp;", "&amp;E21&amp;", "&amp;F21&amp;IF(I21="S",", Божий","")</f>
        <v/>
      </c>
      <c r="N21" s="6" t="n">
        <v>30</v>
      </c>
      <c r="O21" s="6" t="n">
        <v>18</v>
      </c>
      <c r="P21" s="6" t="n">
        <v>0</v>
      </c>
      <c r="Q21" s="6" t="n">
        <v>1</v>
      </c>
      <c r="R21" s="6" t="inlineStr">
        <is>
          <t>фикс</t>
        </is>
      </c>
      <c r="S21" s="6" t="n">
        <v>0</v>
      </c>
      <c r="T21" s="6" t="n">
        <v>0</v>
      </c>
      <c r="U21" s="6" t="n">
        <v>0</v>
      </c>
      <c r="V21" s="6" t="n">
        <v>6</v>
      </c>
      <c r="W21" s="6" t="n">
        <v>0</v>
      </c>
      <c r="X21" s="2">
        <f>Q21*IF(R21="оружие ближнее",P21*Константы!$B$3,IF(R21="оружие дальнее",P21*Константы!$B$4,P21))</f>
        <v/>
      </c>
      <c r="Y21" s="15">
        <f>INDEX(Константы!$D$18:$D$22,MATCH(I21,Константы!$A$18:$A$22,0))</f>
        <v/>
      </c>
      <c r="Z21" s="16">
        <f>X21*(1+Y21)</f>
        <v/>
      </c>
      <c r="AA21" s="16">
        <f>N21*(1-INDEX(Константы!$E$18:$E$22,MATCH(I21,Константы!$A$18:$A$22,0)))</f>
        <v/>
      </c>
      <c r="AB21" s="14">
        <f>IF(AA21&gt;0,Z21/AA21,0)</f>
        <v/>
      </c>
      <c r="AC21" s="16">
        <f>IF(O21&gt;0,Z21/O21,0)</f>
        <v/>
      </c>
      <c r="AD21" s="14">
        <f>IF(AA21&gt;0,AB21/Константы!$B$14,0)</f>
        <v/>
      </c>
      <c r="AE21" s="2">
        <f>IF(Z21=0,"без урона",IF(AD21&gt;Константы!$B$12,"перегиб",IF(AND(AA21&gt;0,AD21&lt;Константы!$B$13),"слабый","норма")))</f>
        <v/>
      </c>
      <c r="AF21" s="2" t="inlineStr">
        <is>
          <t>6 с: каждые 10 полученного урона дают 2 Яри (не больше 30).</t>
        </is>
      </c>
      <c r="AG21" s="2" t="inlineStr">
        <is>
          <t>Кожа героя блестит зеркалом, в ней отражаются враги.</t>
        </is>
      </c>
      <c r="AH21" s="2">
        <f>"Flat game UI rune icon, 256x256, centered on a dark slate (#1E2230) square tile. An outer "&amp;INDEX(Руны!$C$27:$C$30,MATCH(G21,Руны!$A$27:$A$30,0))&amp;", thick carved "&amp;INDEX(Руны!$F$2:$F$10,MATCH(E21,Руны!$A$2:$A$10,0))&amp;" stroke"&amp;INDEX(Руны!$G$2:$G$10,MATCH(E21,Руны!$A$2:$A$10,0))&amp;" and a "&amp;INDEX(Руны!$I$2:$I$10,MATCH(E21,Руны!$A$2:$A$10,0))&amp;" around its outside. Inside: "&amp;INDEX(Руны!$C$14:$C$23,MATCH(H21,Руны!$A$14:$A$23,0))&amp;". Chiseled straight line ends, flat vector, no perspective, faint outer glow."</f>
        <v/>
      </c>
      <c r="AI21" s="2" t="inlineStr">
        <is>
          <t>[Д] черновик</t>
        </is>
      </c>
    </row>
    <row r="22">
      <c r="A22" s="2" t="inlineStr">
        <is>
          <t>Выпас</t>
        </is>
      </c>
      <c r="B22" s="2" t="inlineStr">
        <is>
          <t>Активный</t>
        </is>
      </c>
      <c r="C22" s="2" t="inlineStr">
        <is>
          <t>Омут</t>
        </is>
      </c>
      <c r="D22" s="2" t="inlineStr">
        <is>
          <t>Велес</t>
        </is>
      </c>
      <c r="E22" s="2" t="inlineStr">
        <is>
          <t>Ртуть</t>
        </is>
      </c>
      <c r="F22" s="2" t="inlineStr">
        <is>
          <t>Хил</t>
        </is>
      </c>
      <c r="G22" s="2" t="inlineStr">
        <is>
          <t>чары</t>
        </is>
      </c>
      <c r="H22" s="2" t="inlineStr">
        <is>
          <t>лечение</t>
        </is>
      </c>
      <c r="I22" s="2" t="inlineStr">
        <is>
          <t>D</t>
        </is>
      </c>
      <c r="J22" s="2">
        <f>INDEX(Константы!$G$18:$G$22,MATCH(I22,Константы!$A$18:$A$22,0))</f>
        <v/>
      </c>
      <c r="K22" s="2">
        <f>INDEX(Константы!$F$18:$F$22,MATCH(I22,Константы!$A$18:$A$22,0))</f>
        <v/>
      </c>
      <c r="L22" s="2">
        <f>INDEX(Константы!$C$18:$C$22,MATCH(I22,Константы!$A$18:$A$22,0))</f>
        <v/>
      </c>
      <c r="M22" s="2">
        <f>G22&amp;", "&amp;H22&amp;", "&amp;E22&amp;", "&amp;F22&amp;IF(I22="S",", Божий","")</f>
        <v/>
      </c>
      <c r="N22" s="6" t="n">
        <v>25</v>
      </c>
      <c r="O22" s="6" t="n">
        <v>14</v>
      </c>
      <c r="P22" s="6" t="n">
        <v>0</v>
      </c>
      <c r="Q22" s="6" t="n">
        <v>1</v>
      </c>
      <c r="R22" s="6" t="inlineStr">
        <is>
          <t>фикс</t>
        </is>
      </c>
      <c r="S22" s="6" t="n">
        <v>6</v>
      </c>
      <c r="T22" s="6" t="n">
        <v>0</v>
      </c>
      <c r="U22" s="6" t="n">
        <v>0</v>
      </c>
      <c r="V22" s="6" t="n">
        <v>6</v>
      </c>
      <c r="W22" s="6" t="n">
        <v>0</v>
      </c>
      <c r="X22" s="2">
        <f>Q22*IF(R22="оружие ближнее",P22*Константы!$B$3,IF(R22="оружие дальнее",P22*Константы!$B$4,P22))</f>
        <v/>
      </c>
      <c r="Y22" s="15">
        <f>INDEX(Константы!$D$18:$D$22,MATCH(I22,Константы!$A$18:$A$22,0))</f>
        <v/>
      </c>
      <c r="Z22" s="16">
        <f>X22*(1+Y22)</f>
        <v/>
      </c>
      <c r="AA22" s="16">
        <f>N22*(1-INDEX(Константы!$E$18:$E$22,MATCH(I22,Константы!$A$18:$A$22,0)))</f>
        <v/>
      </c>
      <c r="AB22" s="14">
        <f>IF(AA22&gt;0,Z22/AA22,0)</f>
        <v/>
      </c>
      <c r="AC22" s="16">
        <f>IF(O22&gt;0,Z22/O22,0)</f>
        <v/>
      </c>
      <c r="AD22" s="14">
        <f>IF(AA22&gt;0,AB22/Константы!$B$14,0)</f>
        <v/>
      </c>
      <c r="AE22" s="2">
        <f>IF(Z22=0,"без урона",IF(AD22&gt;Константы!$B$12,"перегиб",IF(AND(AA22&gt;0,AD22&lt;Константы!$B$13),"слабый","норма")))</f>
        <v/>
      </c>
      <c r="AF22" s="2" t="inlineStr">
        <is>
          <t>Зелёный луг на 6 с: 3% здоровья в секунду героям и зверям.</t>
        </is>
      </c>
      <c r="AG22" s="2" t="inlineStr">
        <is>
          <t>Круг сочной травы посреди ртутной топи.</t>
        </is>
      </c>
      <c r="AH22" s="2">
        <f>"Flat game UI rune icon, 256x256, centered on a dark slate (#1E2230) square tile. An outer "&amp;INDEX(Руны!$C$27:$C$30,MATCH(G22,Руны!$A$27:$A$30,0))&amp;", thick carved "&amp;INDEX(Руны!$F$2:$F$10,MATCH(E22,Руны!$A$2:$A$10,0))&amp;" stroke"&amp;INDEX(Руны!$G$2:$G$10,MATCH(E22,Руны!$A$2:$A$10,0))&amp;" and a "&amp;INDEX(Руны!$I$2:$I$10,MATCH(E22,Руны!$A$2:$A$10,0))&amp;" around its outside. Inside: "&amp;INDEX(Руны!$C$14:$C$23,MATCH(H22,Руны!$A$14:$A$23,0))&amp;". Chiseled straight line ends, flat vector, no perspective, faint outer glow."</f>
        <v/>
      </c>
      <c r="AI22" s="2" t="inlineStr">
        <is>
          <t>[Д] черновик</t>
        </is>
      </c>
    </row>
    <row r="23">
      <c r="A23" s="2" t="inlineStr">
        <is>
          <t>Песня пастушонка</t>
        </is>
      </c>
      <c r="B23" s="2" t="inlineStr">
        <is>
          <t>Активный</t>
        </is>
      </c>
      <c r="C23" s="2" t="inlineStr">
        <is>
          <t>Омут</t>
        </is>
      </c>
      <c r="D23" s="2" t="inlineStr">
        <is>
          <t>Велес</t>
        </is>
      </c>
      <c r="E23" s="2" t="inlineStr">
        <is>
          <t>Ртуть</t>
        </is>
      </c>
      <c r="F23" s="2" t="inlineStr">
        <is>
          <t>Хил</t>
        </is>
      </c>
      <c r="G23" s="2" t="inlineStr">
        <is>
          <t>чары</t>
        </is>
      </c>
      <c r="H23" s="2" t="inlineStr">
        <is>
          <t>лечение</t>
        </is>
      </c>
      <c r="I23" s="2" t="inlineStr">
        <is>
          <t>S</t>
        </is>
      </c>
      <c r="J23" s="2">
        <f>INDEX(Константы!$G$18:$G$22,MATCH(I23,Константы!$A$18:$A$22,0))</f>
        <v/>
      </c>
      <c r="K23" s="2">
        <f>INDEX(Константы!$F$18:$F$22,MATCH(I23,Константы!$A$18:$A$22,0))</f>
        <v/>
      </c>
      <c r="L23" s="2">
        <f>INDEX(Константы!$C$18:$C$22,MATCH(I23,Константы!$A$18:$A$22,0))</f>
        <v/>
      </c>
      <c r="M23" s="2">
        <f>G23&amp;", "&amp;H23&amp;", "&amp;E23&amp;", "&amp;F23&amp;IF(I23="S",", Божий","")</f>
        <v/>
      </c>
      <c r="N23" s="6" t="n">
        <v>35</v>
      </c>
      <c r="O23" s="6" t="n">
        <v>30</v>
      </c>
      <c r="P23" s="6" t="n">
        <v>0</v>
      </c>
      <c r="Q23" s="6" t="n">
        <v>1</v>
      </c>
      <c r="R23" s="6" t="inlineStr">
        <is>
          <t>фикс</t>
        </is>
      </c>
      <c r="S23" s="6" t="n">
        <v>12</v>
      </c>
      <c r="T23" s="6" t="n">
        <v>0</v>
      </c>
      <c r="U23" s="6" t="n">
        <v>0</v>
      </c>
      <c r="V23" s="6" t="n">
        <v>8</v>
      </c>
      <c r="W23" s="6" t="n">
        <v>0</v>
      </c>
      <c r="X23" s="2">
        <f>Q23*IF(R23="оружие ближнее",P23*Константы!$B$3,IF(R23="оружие дальнее",P23*Константы!$B$4,P23))</f>
        <v/>
      </c>
      <c r="Y23" s="15">
        <f>INDEX(Константы!$D$18:$D$22,MATCH(I23,Константы!$A$18:$A$22,0))</f>
        <v/>
      </c>
      <c r="Z23" s="16">
        <f>X23*(1+Y23)</f>
        <v/>
      </c>
      <c r="AA23" s="16">
        <f>N23*(1-INDEX(Константы!$E$18:$E$22,MATCH(I23,Константы!$A$18:$A$22,0)))</f>
        <v/>
      </c>
      <c r="AB23" s="14">
        <f>IF(AA23&gt;0,Z23/AA23,0)</f>
        <v/>
      </c>
      <c r="AC23" s="16">
        <f>IF(O23&gt;0,Z23/O23,0)</f>
        <v/>
      </c>
      <c r="AD23" s="14">
        <f>IF(AA23&gt;0,AB23/Константы!$B$14,0)</f>
        <v/>
      </c>
      <c r="AE23" s="2">
        <f>IF(Z23=0,"без урона",IF(AD23&gt;Константы!$B$12,"перегиб",IF(AND(AA23&gt;0,AD23&lt;Константы!$B$13),"слабый","норма")))</f>
        <v/>
      </c>
      <c r="AF23" s="2" t="inlineStr">
        <is>
          <t>Песня 8 с: союзники лечатся на 4%/с, звери идут на голос и не теряют хозяина.</t>
        </is>
      </c>
      <c r="AG23" s="2" t="inlineStr">
        <is>
          <t>Мальчик-тень с дудкой, от звука расходятся зелёные кольца.</t>
        </is>
      </c>
      <c r="AH23" s="2">
        <f>"Flat game UI rune icon, 256x256, centered on a dark slate (#1E2230) square tile. An outer "&amp;INDEX(Руны!$C$27:$C$30,MATCH(G23,Руны!$A$27:$A$30,0))&amp;", thick carved "&amp;INDEX(Руны!$F$2:$F$10,MATCH(E23,Руны!$A$2:$A$10,0))&amp;" stroke"&amp;INDEX(Руны!$G$2:$G$10,MATCH(E23,Руны!$A$2:$A$10,0))&amp;" and a "&amp;INDEX(Руны!$I$2:$I$10,MATCH(E23,Руны!$A$2:$A$10,0))&amp;" around its outside. Inside: "&amp;INDEX(Руны!$C$14:$C$23,MATCH(H23,Руны!$A$14:$A$23,0))&amp;". Chiseled straight line ends, flat vector, no perspective, faint outer glow."</f>
        <v/>
      </c>
      <c r="AI23" s="2" t="inlineStr">
        <is>
          <t>[Д] черновик</t>
        </is>
      </c>
    </row>
    <row r="24">
      <c r="A24" s="2" t="inlineStr">
        <is>
          <t>Скотий круг</t>
        </is>
      </c>
      <c r="B24" s="2" t="inlineStr">
        <is>
          <t>Активный</t>
        </is>
      </c>
      <c r="C24" s="2" t="inlineStr">
        <is>
          <t>Омут</t>
        </is>
      </c>
      <c r="D24" s="2" t="inlineStr">
        <is>
          <t>Велес</t>
        </is>
      </c>
      <c r="E24" s="2" t="inlineStr">
        <is>
          <t>Ртуть</t>
        </is>
      </c>
      <c r="F24" s="2" t="inlineStr">
        <is>
          <t>Призыв</t>
        </is>
      </c>
      <c r="G24" s="2" t="inlineStr">
        <is>
          <t>чары</t>
        </is>
      </c>
      <c r="H24" s="2" t="inlineStr">
        <is>
          <t>призыв</t>
        </is>
      </c>
      <c r="I24" s="2" t="inlineStr">
        <is>
          <t>C</t>
        </is>
      </c>
      <c r="J24" s="2">
        <f>INDEX(Константы!$G$18:$G$22,MATCH(I24,Константы!$A$18:$A$22,0))</f>
        <v/>
      </c>
      <c r="K24" s="2">
        <f>INDEX(Константы!$F$18:$F$22,MATCH(I24,Константы!$A$18:$A$22,0))</f>
        <v/>
      </c>
      <c r="L24" s="2">
        <f>INDEX(Константы!$C$18:$C$22,MATCH(I24,Константы!$A$18:$A$22,0))</f>
        <v/>
      </c>
      <c r="M24" s="2">
        <f>G24&amp;", "&amp;H24&amp;", "&amp;E24&amp;", "&amp;F24&amp;IF(I24="S",", Божий","")</f>
        <v/>
      </c>
      <c r="N24" s="6" t="n">
        <v>30</v>
      </c>
      <c r="O24" s="6" t="n">
        <v>20</v>
      </c>
      <c r="P24" s="6" t="n">
        <v>10</v>
      </c>
      <c r="Q24" s="6" t="n">
        <v>15</v>
      </c>
      <c r="R24" s="6" t="inlineStr">
        <is>
          <t>фикс</t>
        </is>
      </c>
      <c r="S24" s="6" t="n">
        <v>0</v>
      </c>
      <c r="T24" s="6" t="n">
        <v>0</v>
      </c>
      <c r="U24" s="6" t="n">
        <v>0</v>
      </c>
      <c r="V24" s="6" t="n">
        <v>15</v>
      </c>
      <c r="W24" s="6" t="n">
        <v>0</v>
      </c>
      <c r="X24" s="2">
        <f>Q24*IF(R24="оружие ближнее",P24*Константы!$B$3,IF(R24="оружие дальнее",P24*Константы!$B$4,P24))</f>
        <v/>
      </c>
      <c r="Y24" s="15">
        <f>INDEX(Константы!$D$18:$D$22,MATCH(I24,Константы!$A$18:$A$22,0))</f>
        <v/>
      </c>
      <c r="Z24" s="16">
        <f>X24*(1+Y24)</f>
        <v/>
      </c>
      <c r="AA24" s="16">
        <f>N24*(1-INDEX(Константы!$E$18:$E$22,MATCH(I24,Константы!$A$18:$A$22,0)))</f>
        <v/>
      </c>
      <c r="AB24" s="14">
        <f>IF(AA24&gt;0,Z24/AA24,0)</f>
        <v/>
      </c>
      <c r="AC24" s="16">
        <f>IF(O24&gt;0,Z24/O24,0)</f>
        <v/>
      </c>
      <c r="AD24" s="14">
        <f>IF(AA24&gt;0,AB24/Константы!$B$14,0)</f>
        <v/>
      </c>
      <c r="AE24" s="2">
        <f>IF(Z24=0,"без урона",IF(AD24&gt;Константы!$B$12,"перегиб",IF(AND(AA24&gt;0,AD24&lt;Константы!$B$13),"слабый","норма")))</f>
        <v/>
      </c>
      <c r="AF24" s="2" t="inlineStr">
        <is>
          <t>Три ртутных тура на 15 с: ходят кругом у героя, бьют рогами.</t>
        </is>
      </c>
      <c r="AG24" s="2" t="inlineStr">
        <is>
          <t>Три серебристых быка идут по кругу вокруг героя.</t>
        </is>
      </c>
      <c r="AH24" s="2">
        <f>"Flat game UI rune icon, 256x256, centered on a dark slate (#1E2230) square tile. An outer "&amp;INDEX(Руны!$C$27:$C$30,MATCH(G24,Руны!$A$27:$A$30,0))&amp;", thick carved "&amp;INDEX(Руны!$F$2:$F$10,MATCH(E24,Руны!$A$2:$A$10,0))&amp;" stroke"&amp;INDEX(Руны!$G$2:$G$10,MATCH(E24,Руны!$A$2:$A$10,0))&amp;" and a "&amp;INDEX(Руны!$I$2:$I$10,MATCH(E24,Руны!$A$2:$A$10,0))&amp;" around its outside. Inside: "&amp;INDEX(Руны!$C$14:$C$23,MATCH(H24,Руны!$A$14:$A$23,0))&amp;". Chiseled straight line ends, flat vector, no perspective, faint outer glow."</f>
        <v/>
      </c>
      <c r="AI24" s="2" t="inlineStr">
        <is>
          <t>[Д] черновик</t>
        </is>
      </c>
    </row>
    <row r="25">
      <c r="A25" s="2" t="inlineStr">
        <is>
          <t>Велесово стадо</t>
        </is>
      </c>
      <c r="B25" s="2" t="inlineStr">
        <is>
          <t>Активный</t>
        </is>
      </c>
      <c r="C25" s="2" t="inlineStr">
        <is>
          <t>Омут</t>
        </is>
      </c>
      <c r="D25" s="2" t="inlineStr">
        <is>
          <t>Велес</t>
        </is>
      </c>
      <c r="E25" s="2" t="inlineStr">
        <is>
          <t>Ртуть</t>
        </is>
      </c>
      <c r="F25" s="2" t="inlineStr">
        <is>
          <t>Призыв</t>
        </is>
      </c>
      <c r="G25" s="2" t="inlineStr">
        <is>
          <t>чары</t>
        </is>
      </c>
      <c r="H25" s="2" t="inlineStr">
        <is>
          <t>призыв</t>
        </is>
      </c>
      <c r="I25" s="2" t="inlineStr">
        <is>
          <t>S</t>
        </is>
      </c>
      <c r="J25" s="2">
        <f>INDEX(Константы!$G$18:$G$22,MATCH(I25,Константы!$A$18:$A$22,0))</f>
        <v/>
      </c>
      <c r="K25" s="2">
        <f>INDEX(Константы!$F$18:$F$22,MATCH(I25,Константы!$A$18:$A$22,0))</f>
        <v/>
      </c>
      <c r="L25" s="2">
        <f>INDEX(Константы!$C$18:$C$22,MATCH(I25,Константы!$A$18:$A$22,0))</f>
        <v/>
      </c>
      <c r="M25" s="2">
        <f>G25&amp;", "&amp;H25&amp;", "&amp;E25&amp;", "&amp;F25&amp;IF(I25="S",", Божий","")</f>
        <v/>
      </c>
      <c r="N25" s="6" t="n">
        <v>35</v>
      </c>
      <c r="O25" s="6" t="n">
        <v>40</v>
      </c>
      <c r="P25" s="6" t="n">
        <v>8</v>
      </c>
      <c r="Q25" s="6" t="n">
        <v>20</v>
      </c>
      <c r="R25" s="6" t="inlineStr">
        <is>
          <t>фикс</t>
        </is>
      </c>
      <c r="S25" s="6" t="n">
        <v>0</v>
      </c>
      <c r="T25" s="6" t="n">
        <v>0</v>
      </c>
      <c r="U25" s="6" t="n">
        <v>0</v>
      </c>
      <c r="V25" s="6" t="n">
        <v>20</v>
      </c>
      <c r="W25" s="6" t="n">
        <v>0</v>
      </c>
      <c r="X25" s="2">
        <f>Q25*IF(R25="оружие ближнее",P25*Константы!$B$3,IF(R25="оружие дальнее",P25*Константы!$B$4,P25))</f>
        <v/>
      </c>
      <c r="Y25" s="15">
        <f>INDEX(Константы!$D$18:$D$22,MATCH(I25,Константы!$A$18:$A$22,0))</f>
        <v/>
      </c>
      <c r="Z25" s="16">
        <f>X25*(1+Y25)</f>
        <v/>
      </c>
      <c r="AA25" s="16">
        <f>N25*(1-INDEX(Константы!$E$18:$E$22,MATCH(I25,Константы!$A$18:$A$22,0)))</f>
        <v/>
      </c>
      <c r="AB25" s="14">
        <f>IF(AA25&gt;0,Z25/AA25,0)</f>
        <v/>
      </c>
      <c r="AC25" s="16">
        <f>IF(O25&gt;0,Z25/O25,0)</f>
        <v/>
      </c>
      <c r="AD25" s="14">
        <f>IF(AA25&gt;0,AB25/Константы!$B$14,0)</f>
        <v/>
      </c>
      <c r="AE25" s="2">
        <f>IF(Z25=0,"без урона",IF(AD25&gt;Константы!$B$12,"перегиб",IF(AND(AA25&gt;0,AD25&lt;Константы!$B$13),"слабый","норма")))</f>
        <v/>
      </c>
      <c r="AF25" s="2" t="inlineStr">
        <is>
          <t>Стадо из 6 туров на 20 с; каждый павший тур отдаёт 10 Яри.</t>
        </is>
      </c>
      <c r="AG25" s="2" t="inlineStr">
        <is>
          <t>Огромное стадо серебряных быков на фоне тёмного омута.</t>
        </is>
      </c>
      <c r="AH25" s="2">
        <f>"Flat game UI rune icon, 256x256, centered on a dark slate (#1E2230) square tile. An outer "&amp;INDEX(Руны!$C$27:$C$30,MATCH(G25,Руны!$A$27:$A$30,0))&amp;", thick carved "&amp;INDEX(Руны!$F$2:$F$10,MATCH(E25,Руны!$A$2:$A$10,0))&amp;" stroke"&amp;INDEX(Руны!$G$2:$G$10,MATCH(E25,Руны!$A$2:$A$10,0))&amp;" and a "&amp;INDEX(Руны!$I$2:$I$10,MATCH(E25,Руны!$A$2:$A$10,0))&amp;" around its outside. Inside: "&amp;INDEX(Руны!$C$14:$C$23,MATCH(H25,Руны!$A$14:$A$23,0))&amp;". Chiseled straight line ends, flat vector, no perspective, faint outer glow."</f>
        <v/>
      </c>
      <c r="AI25" s="2" t="inlineStr">
        <is>
          <t>[Д] черновик</t>
        </is>
      </c>
    </row>
    <row r="26">
      <c r="A26" s="2" t="inlineStr">
        <is>
          <t>Мена</t>
        </is>
      </c>
      <c r="B26" s="2" t="inlineStr">
        <is>
          <t>Активный</t>
        </is>
      </c>
      <c r="C26" s="2" t="inlineStr">
        <is>
          <t>Омут</t>
        </is>
      </c>
      <c r="D26" s="2" t="inlineStr">
        <is>
          <t>Велес</t>
        </is>
      </c>
      <c r="E26" s="2" t="inlineStr">
        <is>
          <t>Ртуть</t>
        </is>
      </c>
      <c r="F26" s="2" t="inlineStr">
        <is>
          <t>Саппорт</t>
        </is>
      </c>
      <c r="G26" s="2" t="inlineStr">
        <is>
          <t>чары</t>
        </is>
      </c>
      <c r="H26" s="2" t="inlineStr">
        <is>
          <t>обездвиживание</t>
        </is>
      </c>
      <c r="I26" s="2" t="inlineStr">
        <is>
          <t>D</t>
        </is>
      </c>
      <c r="J26" s="2">
        <f>INDEX(Константы!$G$18:$G$22,MATCH(I26,Константы!$A$18:$A$22,0))</f>
        <v/>
      </c>
      <c r="K26" s="2">
        <f>INDEX(Константы!$F$18:$F$22,MATCH(I26,Константы!$A$18:$A$22,0))</f>
        <v/>
      </c>
      <c r="L26" s="2">
        <f>INDEX(Константы!$C$18:$C$22,MATCH(I26,Константы!$A$18:$A$22,0))</f>
        <v/>
      </c>
      <c r="M26" s="2">
        <f>G26&amp;", "&amp;H26&amp;", "&amp;E26&amp;", "&amp;F26&amp;IF(I26="S",", Божий","")</f>
        <v/>
      </c>
      <c r="N26" s="6" t="n">
        <v>0</v>
      </c>
      <c r="O26" s="6" t="n">
        <v>12</v>
      </c>
      <c r="P26" s="6" t="n">
        <v>20</v>
      </c>
      <c r="Q26" s="6" t="n">
        <v>1</v>
      </c>
      <c r="R26" s="6" t="inlineStr">
        <is>
          <t>фикс</t>
        </is>
      </c>
      <c r="S26" s="6" t="n">
        <v>5</v>
      </c>
      <c r="T26" s="6" t="n">
        <v>0</v>
      </c>
      <c r="U26" s="6" t="n">
        <v>0</v>
      </c>
      <c r="V26" s="6" t="n">
        <v>3</v>
      </c>
      <c r="W26" s="6" t="n">
        <v>0</v>
      </c>
      <c r="X26" s="2">
        <f>Q26*IF(R26="оружие ближнее",P26*Константы!$B$3,IF(R26="оружие дальнее",P26*Константы!$B$4,P26))</f>
        <v/>
      </c>
      <c r="Y26" s="15">
        <f>INDEX(Константы!$D$18:$D$22,MATCH(I26,Константы!$A$18:$A$22,0))</f>
        <v/>
      </c>
      <c r="Z26" s="16">
        <f>X26*(1+Y26)</f>
        <v/>
      </c>
      <c r="AA26" s="16">
        <f>N26*(1-INDEX(Константы!$E$18:$E$22,MATCH(I26,Константы!$A$18:$A$22,0)))</f>
        <v/>
      </c>
      <c r="AB26" s="14">
        <f>IF(AA26&gt;0,Z26/AA26,0)</f>
        <v/>
      </c>
      <c r="AC26" s="16">
        <f>IF(O26&gt;0,Z26/O26,0)</f>
        <v/>
      </c>
      <c r="AD26" s="14">
        <f>IF(AA26&gt;0,AB26/Константы!$B$14,0)</f>
        <v/>
      </c>
      <c r="AE26" s="2">
        <f>IF(Z26=0,"без урона",IF(AD26&gt;Константы!$B$12,"перегиб",IF(AND(AA26&gt;0,AD26&lt;Константы!$B$13),"слабый","норма")))</f>
        <v/>
      </c>
      <c r="AF26" s="2" t="inlineStr">
        <is>
          <t>Цена — 10% здоровья: враги в круге замедлены на 3 с, герой получает 25 Ярь.</t>
        </is>
      </c>
      <c r="AG26" s="2" t="inlineStr">
        <is>
          <t>Ладонь роняет каплю крови в ртуть, от неё идёт рябь.</t>
        </is>
      </c>
      <c r="AH26" s="2">
        <f>"Flat game UI rune icon, 256x256, centered on a dark slate (#1E2230) square tile. An outer "&amp;INDEX(Руны!$C$27:$C$30,MATCH(G26,Руны!$A$27:$A$30,0))&amp;", thick carved "&amp;INDEX(Руны!$F$2:$F$10,MATCH(E26,Руны!$A$2:$A$10,0))&amp;" stroke"&amp;INDEX(Руны!$G$2:$G$10,MATCH(E26,Руны!$A$2:$A$10,0))&amp;" and a "&amp;INDEX(Руны!$I$2:$I$10,MATCH(E26,Руны!$A$2:$A$10,0))&amp;" around its outside. Inside: "&amp;INDEX(Руны!$C$14:$C$23,MATCH(H26,Руны!$A$14:$A$23,0))&amp;". Chiseled straight line ends, flat vector, no perspective, faint outer glow."</f>
        <v/>
      </c>
      <c r="AI26" s="2" t="inlineStr">
        <is>
          <t>[Д] черновик</t>
        </is>
      </c>
    </row>
    <row r="27">
      <c r="A27" s="2" t="inlineStr">
        <is>
          <t>Омутная тишь</t>
        </is>
      </c>
      <c r="B27" s="2" t="inlineStr">
        <is>
          <t>Активный</t>
        </is>
      </c>
      <c r="C27" s="2" t="inlineStr">
        <is>
          <t>Омут</t>
        </is>
      </c>
      <c r="D27" s="2" t="inlineStr">
        <is>
          <t>Велес</t>
        </is>
      </c>
      <c r="E27" s="2" t="inlineStr">
        <is>
          <t>Ртуть</t>
        </is>
      </c>
      <c r="F27" s="2" t="inlineStr">
        <is>
          <t>Саппорт</t>
        </is>
      </c>
      <c r="G27" s="2" t="inlineStr">
        <is>
          <t>чары</t>
        </is>
      </c>
      <c r="H27" s="2" t="inlineStr">
        <is>
          <t>аура</t>
        </is>
      </c>
      <c r="I27" s="2" t="inlineStr">
        <is>
          <t>B</t>
        </is>
      </c>
      <c r="J27" s="2">
        <f>INDEX(Константы!$G$18:$G$22,MATCH(I27,Константы!$A$18:$A$22,0))</f>
        <v/>
      </c>
      <c r="K27" s="2">
        <f>INDEX(Константы!$F$18:$F$22,MATCH(I27,Константы!$A$18:$A$22,0))</f>
        <v/>
      </c>
      <c r="L27" s="2">
        <f>INDEX(Константы!$C$18:$C$22,MATCH(I27,Константы!$A$18:$A$22,0))</f>
        <v/>
      </c>
      <c r="M27" s="2">
        <f>G27&amp;", "&amp;H27&amp;", "&amp;E27&amp;", "&amp;F27&amp;IF(I27="S",", Божий","")</f>
        <v/>
      </c>
      <c r="N27" s="6" t="n">
        <v>20</v>
      </c>
      <c r="O27" s="6" t="n">
        <v>20</v>
      </c>
      <c r="P27" s="6" t="n">
        <v>0</v>
      </c>
      <c r="Q27" s="6" t="n">
        <v>1</v>
      </c>
      <c r="R27" s="6" t="inlineStr">
        <is>
          <t>фикс</t>
        </is>
      </c>
      <c r="S27" s="6" t="n">
        <v>10</v>
      </c>
      <c r="T27" s="6" t="n">
        <v>0</v>
      </c>
      <c r="U27" s="6" t="n">
        <v>0</v>
      </c>
      <c r="V27" s="6" t="n">
        <v>10</v>
      </c>
      <c r="W27" s="6" t="n">
        <v>0</v>
      </c>
      <c r="X27" s="2">
        <f>Q27*IF(R27="оружие ближнее",P27*Константы!$B$3,IF(R27="оружие дальнее",P27*Константы!$B$4,P27))</f>
        <v/>
      </c>
      <c r="Y27" s="15">
        <f>INDEX(Константы!$D$18:$D$22,MATCH(I27,Константы!$A$18:$A$22,0))</f>
        <v/>
      </c>
      <c r="Z27" s="16">
        <f>X27*(1+Y27)</f>
        <v/>
      </c>
      <c r="AA27" s="16">
        <f>N27*(1-INDEX(Константы!$E$18:$E$22,MATCH(I27,Константы!$A$18:$A$22,0)))</f>
        <v/>
      </c>
      <c r="AB27" s="14">
        <f>IF(AA27&gt;0,Z27/AA27,0)</f>
        <v/>
      </c>
      <c r="AC27" s="16">
        <f>IF(O27&gt;0,Z27/O27,0)</f>
        <v/>
      </c>
      <c r="AD27" s="14">
        <f>IF(AA27&gt;0,AB27/Константы!$B$14,0)</f>
        <v/>
      </c>
      <c r="AE27" s="2">
        <f>IF(Z27=0,"без урона",IF(AD27&gt;Константы!$B$12,"перегиб",IF(AND(AA27&gt;0,AD27&lt;Константы!$B$13),"слабый","норма")))</f>
        <v/>
      </c>
      <c r="AF27" s="2" t="inlineStr">
        <is>
          <t>Аура 10 с: враги в круге −20% скорости, звери героя +20% урона.</t>
        </is>
      </c>
      <c r="AG27" s="2" t="inlineStr">
        <is>
          <t>Гладкая неподвижная вода кругом, в ней ни звука.</t>
        </is>
      </c>
      <c r="AH27" s="2">
        <f>"Flat game UI rune icon, 256x256, centered on a dark slate (#1E2230) square tile. An outer "&amp;INDEX(Руны!$C$27:$C$30,MATCH(G27,Руны!$A$27:$A$30,0))&amp;", thick carved "&amp;INDEX(Руны!$F$2:$F$10,MATCH(E27,Руны!$A$2:$A$10,0))&amp;" stroke"&amp;INDEX(Руны!$G$2:$G$10,MATCH(E27,Руны!$A$2:$A$10,0))&amp;" and a "&amp;INDEX(Руны!$I$2:$I$10,MATCH(E27,Руны!$A$2:$A$10,0))&amp;" around its outside. Inside: "&amp;INDEX(Руны!$C$14:$C$23,MATCH(H27,Руны!$A$14:$A$23,0))&amp;". Chiseled straight line ends, flat vector, no perspective, faint outer glow."</f>
        <v/>
      </c>
      <c r="AI27" s="2" t="inlineStr">
        <is>
          <t>[Д] черновик</t>
        </is>
      </c>
    </row>
    <row r="28">
      <c r="A28" s="2" t="inlineStr">
        <is>
          <t>Нырок</t>
        </is>
      </c>
      <c r="B28" s="2" t="inlineStr">
        <is>
          <t>Активный</t>
        </is>
      </c>
      <c r="C28" s="2" t="inlineStr">
        <is>
          <t>Омут</t>
        </is>
      </c>
      <c r="D28" s="2" t="inlineStr">
        <is>
          <t>Велес</t>
        </is>
      </c>
      <c r="E28" s="2" t="inlineStr">
        <is>
          <t>Ртуть</t>
        </is>
      </c>
      <c r="F28" s="2" t="inlineStr">
        <is>
          <t>Мобильность</t>
        </is>
      </c>
      <c r="G28" s="2" t="inlineStr">
        <is>
          <t>чары</t>
        </is>
      </c>
      <c r="H28" s="2" t="inlineStr">
        <is>
          <t>рывок</t>
        </is>
      </c>
      <c r="I28" s="2" t="inlineStr">
        <is>
          <t>D</t>
        </is>
      </c>
      <c r="J28" s="2">
        <f>INDEX(Константы!$G$18:$G$22,MATCH(I28,Константы!$A$18:$A$22,0))</f>
        <v/>
      </c>
      <c r="K28" s="2">
        <f>INDEX(Константы!$F$18:$F$22,MATCH(I28,Константы!$A$18:$A$22,0))</f>
        <v/>
      </c>
      <c r="L28" s="2">
        <f>INDEX(Константы!$C$18:$C$22,MATCH(I28,Константы!$A$18:$A$22,0))</f>
        <v/>
      </c>
      <c r="M28" s="2">
        <f>G28&amp;", "&amp;H28&amp;", "&amp;E28&amp;", "&amp;F28&amp;IF(I28="S",", Божий","")</f>
        <v/>
      </c>
      <c r="N28" s="6" t="n">
        <v>20</v>
      </c>
      <c r="O28" s="6" t="n">
        <v>6</v>
      </c>
      <c r="P28" s="6" t="n">
        <v>0</v>
      </c>
      <c r="Q28" s="6" t="n">
        <v>1</v>
      </c>
      <c r="R28" s="6" t="inlineStr">
        <is>
          <t>фикс</t>
        </is>
      </c>
      <c r="S28" s="6" t="n">
        <v>0</v>
      </c>
      <c r="T28" s="6" t="n">
        <v>7</v>
      </c>
      <c r="U28" s="6" t="n">
        <v>0</v>
      </c>
      <c r="V28" s="6" t="n">
        <v>0</v>
      </c>
      <c r="W28" s="6" t="n">
        <v>0</v>
      </c>
      <c r="X28" s="2">
        <f>Q28*IF(R28="оружие ближнее",P28*Константы!$B$3,IF(R28="оружие дальнее",P28*Константы!$B$4,P28))</f>
        <v/>
      </c>
      <c r="Y28" s="15">
        <f>INDEX(Константы!$D$18:$D$22,MATCH(I28,Константы!$A$18:$A$22,0))</f>
        <v/>
      </c>
      <c r="Z28" s="16">
        <f>X28*(1+Y28)</f>
        <v/>
      </c>
      <c r="AA28" s="16">
        <f>N28*(1-INDEX(Константы!$E$18:$E$22,MATCH(I28,Константы!$A$18:$A$22,0)))</f>
        <v/>
      </c>
      <c r="AB28" s="14">
        <f>IF(AA28&gt;0,Z28/AA28,0)</f>
        <v/>
      </c>
      <c r="AC28" s="16">
        <f>IF(O28&gt;0,Z28/O28,0)</f>
        <v/>
      </c>
      <c r="AD28" s="14">
        <f>IF(AA28&gt;0,AB28/Константы!$B$14,0)</f>
        <v/>
      </c>
      <c r="AE28" s="2">
        <f>IF(Z28=0,"без урона",IF(AD28&gt;Константы!$B$12,"перегиб",IF(AND(AA28&gt;0,AD28&lt;Константы!$B$13),"слабый","норма")))</f>
        <v/>
      </c>
      <c r="AF28" s="2" t="inlineStr">
        <is>
          <t>Уходит в ртуть и выныривает в 7 м; 0,3 с неуязвимости.</t>
        </is>
      </c>
      <c r="AG28" s="2" t="inlineStr">
        <is>
          <t>Всплеск ртути, из другого всплеска выходит герой.</t>
        </is>
      </c>
      <c r="AH28" s="2">
        <f>"Flat game UI rune icon, 256x256, centered on a dark slate (#1E2230) square tile. An outer "&amp;INDEX(Руны!$C$27:$C$30,MATCH(G28,Руны!$A$27:$A$30,0))&amp;", thick carved "&amp;INDEX(Руны!$F$2:$F$10,MATCH(E28,Руны!$A$2:$A$10,0))&amp;" stroke"&amp;INDEX(Руны!$G$2:$G$10,MATCH(E28,Руны!$A$2:$A$10,0))&amp;" and a "&amp;INDEX(Руны!$I$2:$I$10,MATCH(E28,Руны!$A$2:$A$10,0))&amp;" around its outside. Inside: "&amp;INDEX(Руны!$C$14:$C$23,MATCH(H28,Руны!$A$14:$A$23,0))&amp;". Chiseled straight line ends, flat vector, no perspective, faint outer glow."</f>
        <v/>
      </c>
      <c r="AI28" s="2" t="inlineStr">
        <is>
          <t>[Д] черновик</t>
        </is>
      </c>
    </row>
    <row r="29">
      <c r="A29" s="2" t="inlineStr">
        <is>
          <t>Тропа домой</t>
        </is>
      </c>
      <c r="B29" s="2" t="inlineStr">
        <is>
          <t>Активный</t>
        </is>
      </c>
      <c r="C29" s="2" t="inlineStr">
        <is>
          <t>Омут</t>
        </is>
      </c>
      <c r="D29" s="2" t="inlineStr">
        <is>
          <t>Велес</t>
        </is>
      </c>
      <c r="E29" s="2" t="inlineStr">
        <is>
          <t>Ртуть</t>
        </is>
      </c>
      <c r="F29" s="2" t="inlineStr">
        <is>
          <t>Мобильность</t>
        </is>
      </c>
      <c r="G29" s="2" t="inlineStr">
        <is>
          <t>чары</t>
        </is>
      </c>
      <c r="H29" s="2" t="inlineStr">
        <is>
          <t>рывок</t>
        </is>
      </c>
      <c r="I29" s="2" t="inlineStr">
        <is>
          <t>C</t>
        </is>
      </c>
      <c r="J29" s="2">
        <f>INDEX(Константы!$G$18:$G$22,MATCH(I29,Константы!$A$18:$A$22,0))</f>
        <v/>
      </c>
      <c r="K29" s="2">
        <f>INDEX(Константы!$F$18:$F$22,MATCH(I29,Константы!$A$18:$A$22,0))</f>
        <v/>
      </c>
      <c r="L29" s="2">
        <f>INDEX(Константы!$C$18:$C$22,MATCH(I29,Константы!$A$18:$A$22,0))</f>
        <v/>
      </c>
      <c r="M29" s="2">
        <f>G29&amp;", "&amp;H29&amp;", "&amp;E29&amp;", "&amp;F29&amp;IF(I29="S",", Божий","")</f>
        <v/>
      </c>
      <c r="N29" s="6" t="n">
        <v>25</v>
      </c>
      <c r="O29" s="6" t="n">
        <v>15</v>
      </c>
      <c r="P29" s="6" t="n">
        <v>0</v>
      </c>
      <c r="Q29" s="6" t="n">
        <v>1</v>
      </c>
      <c r="R29" s="6" t="inlineStr">
        <is>
          <t>фикс</t>
        </is>
      </c>
      <c r="S29" s="6" t="n">
        <v>0</v>
      </c>
      <c r="T29" s="6" t="n">
        <v>20</v>
      </c>
      <c r="U29" s="6" t="n">
        <v>0</v>
      </c>
      <c r="V29" s="6" t="n">
        <v>0</v>
      </c>
      <c r="W29" s="6" t="n">
        <v>0</v>
      </c>
      <c r="X29" s="2">
        <f>Q29*IF(R29="оружие ближнее",P29*Константы!$B$3,IF(R29="оружие дальнее",P29*Константы!$B$4,P29))</f>
        <v/>
      </c>
      <c r="Y29" s="15">
        <f>INDEX(Константы!$D$18:$D$22,MATCH(I29,Константы!$A$18:$A$22,0))</f>
        <v/>
      </c>
      <c r="Z29" s="16">
        <f>X29*(1+Y29)</f>
        <v/>
      </c>
      <c r="AA29" s="16">
        <f>N29*(1-INDEX(Константы!$E$18:$E$22,MATCH(I29,Константы!$A$18:$A$22,0)))</f>
        <v/>
      </c>
      <c r="AB29" s="14">
        <f>IF(AA29&gt;0,Z29/AA29,0)</f>
        <v/>
      </c>
      <c r="AC29" s="16">
        <f>IF(O29&gt;0,Z29/O29,0)</f>
        <v/>
      </c>
      <c r="AD29" s="14">
        <f>IF(AA29&gt;0,AB29/Константы!$B$14,0)</f>
        <v/>
      </c>
      <c r="AE29" s="2">
        <f>IF(Z29=0,"без урона",IF(AD29&gt;Константы!$B$12,"перегиб",IF(AND(AA29&gt;0,AD29&lt;Константы!$B$13),"слабый","норма")))</f>
        <v/>
      </c>
      <c r="AF29" s="2" t="inlineStr">
        <is>
          <t>Перенос к ближайшему призванному зверю или отмеченной точке «дом».</t>
        </is>
      </c>
      <c r="AG29" s="2" t="inlineStr">
        <is>
          <t>Тонкая серебристая тропа по воде к далёкому огоньку.</t>
        </is>
      </c>
      <c r="AH29" s="2">
        <f>"Flat game UI rune icon, 256x256, centered on a dark slate (#1E2230) square tile. An outer "&amp;INDEX(Руны!$C$27:$C$30,MATCH(G29,Руны!$A$27:$A$30,0))&amp;", thick carved "&amp;INDEX(Руны!$F$2:$F$10,MATCH(E29,Руны!$A$2:$A$10,0))&amp;" stroke"&amp;INDEX(Руны!$G$2:$G$10,MATCH(E29,Руны!$A$2:$A$10,0))&amp;" and a "&amp;INDEX(Руны!$I$2:$I$10,MATCH(E29,Руны!$A$2:$A$10,0))&amp;" around its outside. Inside: "&amp;INDEX(Руны!$C$14:$C$23,MATCH(H29,Руны!$A$14:$A$23,0))&amp;". Chiseled straight line ends, flat vector, no perspective, faint outer glow."</f>
        <v/>
      </c>
      <c r="AI29" s="2" t="inlineStr">
        <is>
          <t>[Д] черновик</t>
        </is>
      </c>
    </row>
    <row r="30">
      <c r="A30" s="2" t="inlineStr">
        <is>
          <t>Трепало</t>
        </is>
      </c>
      <c r="B30" s="2" t="inlineStr">
        <is>
          <t>Активный</t>
        </is>
      </c>
      <c r="C30" s="2" t="inlineStr">
        <is>
          <t>Хляби</t>
        </is>
      </c>
      <c r="D30" s="2" t="inlineStr">
        <is>
          <t>Мокошь</t>
        </is>
      </c>
      <c r="E30" s="2" t="inlineStr">
        <is>
          <t>Нити</t>
        </is>
      </c>
      <c r="F30" s="2" t="inlineStr">
        <is>
          <t>Мили-ДД</t>
        </is>
      </c>
      <c r="G30" s="2" t="inlineStr">
        <is>
          <t>удар</t>
        </is>
      </c>
      <c r="H30" s="2" t="inlineStr">
        <is>
          <t>площадь</t>
        </is>
      </c>
      <c r="I30" s="2" t="inlineStr">
        <is>
          <t>D</t>
        </is>
      </c>
      <c r="J30" s="2">
        <f>INDEX(Константы!$G$18:$G$22,MATCH(I30,Константы!$A$18:$A$22,0))</f>
        <v/>
      </c>
      <c r="K30" s="2">
        <f>INDEX(Константы!$F$18:$F$22,MATCH(I30,Константы!$A$18:$A$22,0))</f>
        <v/>
      </c>
      <c r="L30" s="2">
        <f>INDEX(Константы!$C$18:$C$22,MATCH(I30,Константы!$A$18:$A$22,0))</f>
        <v/>
      </c>
      <c r="M30" s="2">
        <f>G30&amp;", "&amp;H30&amp;", "&amp;E30&amp;", "&amp;F30&amp;IF(I30="S",", Божий","")</f>
        <v/>
      </c>
      <c r="N30" s="6" t="n">
        <v>20</v>
      </c>
      <c r="O30" s="6" t="n">
        <v>4</v>
      </c>
      <c r="P30" s="6" t="n">
        <v>1.7</v>
      </c>
      <c r="Q30" s="6" t="n">
        <v>1</v>
      </c>
      <c r="R30" s="6" t="inlineStr">
        <is>
          <t>оружие ближнее</t>
        </is>
      </c>
      <c r="S30" s="6" t="n">
        <v>3</v>
      </c>
      <c r="T30" s="6" t="n">
        <v>0</v>
      </c>
      <c r="U30" s="6" t="n">
        <v>0</v>
      </c>
      <c r="V30" s="6" t="n">
        <v>0</v>
      </c>
      <c r="W30" s="6" t="n">
        <v>0</v>
      </c>
      <c r="X30" s="2">
        <f>Q30*IF(R30="оружие ближнее",P30*Константы!$B$3,IF(R30="оружие дальнее",P30*Константы!$B$4,P30))</f>
        <v/>
      </c>
      <c r="Y30" s="15">
        <f>INDEX(Константы!$D$18:$D$22,MATCH(I30,Константы!$A$18:$A$22,0))</f>
        <v/>
      </c>
      <c r="Z30" s="16">
        <f>X30*(1+Y30)</f>
        <v/>
      </c>
      <c r="AA30" s="16">
        <f>N30*(1-INDEX(Константы!$E$18:$E$22,MATCH(I30,Константы!$A$18:$A$22,0)))</f>
        <v/>
      </c>
      <c r="AB30" s="14">
        <f>IF(AA30&gt;0,Z30/AA30,0)</f>
        <v/>
      </c>
      <c r="AC30" s="16">
        <f>IF(O30&gt;0,Z30/O30,0)</f>
        <v/>
      </c>
      <c r="AD30" s="14">
        <f>IF(AA30&gt;0,AB30/Константы!$B$14,0)</f>
        <v/>
      </c>
      <c r="AE30" s="2">
        <f>IF(Z30=0,"без урона",IF(AD30&gt;Константы!$B$12,"перегиб",IF(AND(AA30&gt;0,AD30&lt;Константы!$B$13),"слабый","норма")))</f>
        <v/>
      </c>
      <c r="AF30" s="2" t="inlineStr">
        <is>
          <t>Удар оружием; каждый задетый враг связан нитью с соседним на 3 с.</t>
        </is>
      </c>
      <c r="AG30" s="2" t="inlineStr">
        <is>
          <t>Деревянное трепало, с него летят клочья кудели.</t>
        </is>
      </c>
      <c r="AH30" s="2">
        <f>"Flat game UI rune icon, 256x256, centered on a dark slate (#1E2230) square tile. An outer "&amp;INDEX(Руны!$C$27:$C$30,MATCH(G30,Руны!$A$27:$A$30,0))&amp;", thick carved "&amp;INDEX(Руны!$F$2:$F$10,MATCH(E30,Руны!$A$2:$A$10,0))&amp;" stroke"&amp;INDEX(Руны!$G$2:$G$10,MATCH(E30,Руны!$A$2:$A$10,0))&amp;" and a "&amp;INDEX(Руны!$I$2:$I$10,MATCH(E30,Руны!$A$2:$A$10,0))&amp;" around its outside. Inside: "&amp;INDEX(Руны!$C$14:$C$23,MATCH(H30,Руны!$A$14:$A$23,0))&amp;". Chiseled straight line ends, flat vector, no perspective, faint outer glow."</f>
        <v/>
      </c>
      <c r="AI30" s="2" t="inlineStr">
        <is>
          <t>[Д] черновик</t>
        </is>
      </c>
    </row>
    <row r="31">
      <c r="A31" s="2" t="inlineStr">
        <is>
          <t>Узел</t>
        </is>
      </c>
      <c r="B31" s="2" t="inlineStr">
        <is>
          <t>Активный</t>
        </is>
      </c>
      <c r="C31" s="2" t="inlineStr">
        <is>
          <t>Хляби</t>
        </is>
      </c>
      <c r="D31" s="2" t="inlineStr">
        <is>
          <t>Мокошь</t>
        </is>
      </c>
      <c r="E31" s="2" t="inlineStr">
        <is>
          <t>Нити</t>
        </is>
      </c>
      <c r="F31" s="2" t="inlineStr">
        <is>
          <t>Мили-ДД</t>
        </is>
      </c>
      <c r="G31" s="2" t="inlineStr">
        <is>
          <t>удар</t>
        </is>
      </c>
      <c r="H31" s="2" t="inlineStr">
        <is>
          <t>обездвиживание</t>
        </is>
      </c>
      <c r="I31" s="2" t="inlineStr">
        <is>
          <t>C</t>
        </is>
      </c>
      <c r="J31" s="2">
        <f>INDEX(Константы!$G$18:$G$22,MATCH(I31,Константы!$A$18:$A$22,0))</f>
        <v/>
      </c>
      <c r="K31" s="2">
        <f>INDEX(Константы!$F$18:$F$22,MATCH(I31,Константы!$A$18:$A$22,0))</f>
        <v/>
      </c>
      <c r="L31" s="2">
        <f>INDEX(Константы!$C$18:$C$22,MATCH(I31,Константы!$A$18:$A$22,0))</f>
        <v/>
      </c>
      <c r="M31" s="2">
        <f>G31&amp;", "&amp;H31&amp;", "&amp;E31&amp;", "&amp;F31&amp;IF(I31="S",", Божий","")</f>
        <v/>
      </c>
      <c r="N31" s="6" t="n">
        <v>25</v>
      </c>
      <c r="O31" s="6" t="n">
        <v>9</v>
      </c>
      <c r="P31" s="6" t="n">
        <v>2</v>
      </c>
      <c r="Q31" s="6" t="n">
        <v>1</v>
      </c>
      <c r="R31" s="6" t="inlineStr">
        <is>
          <t>оружие ближнее</t>
        </is>
      </c>
      <c r="S31" s="6" t="n">
        <v>0</v>
      </c>
      <c r="T31" s="6" t="n">
        <v>3</v>
      </c>
      <c r="U31" s="6" t="n">
        <v>0</v>
      </c>
      <c r="V31" s="6" t="n">
        <v>0</v>
      </c>
      <c r="W31" s="6" t="n">
        <v>1.2</v>
      </c>
      <c r="X31" s="2">
        <f>Q31*IF(R31="оружие ближнее",P31*Константы!$B$3,IF(R31="оружие дальнее",P31*Константы!$B$4,P31))</f>
        <v/>
      </c>
      <c r="Y31" s="15">
        <f>INDEX(Константы!$D$18:$D$22,MATCH(I31,Константы!$A$18:$A$22,0))</f>
        <v/>
      </c>
      <c r="Z31" s="16">
        <f>X31*(1+Y31)</f>
        <v/>
      </c>
      <c r="AA31" s="16">
        <f>N31*(1-INDEX(Константы!$E$18:$E$22,MATCH(I31,Константы!$A$18:$A$22,0)))</f>
        <v/>
      </c>
      <c r="AB31" s="14">
        <f>IF(AA31&gt;0,Z31/AA31,0)</f>
        <v/>
      </c>
      <c r="AC31" s="16">
        <f>IF(O31&gt;0,Z31/O31,0)</f>
        <v/>
      </c>
      <c r="AD31" s="14">
        <f>IF(AA31&gt;0,AB31/Константы!$B$14,0)</f>
        <v/>
      </c>
      <c r="AE31" s="2">
        <f>IF(Z31=0,"без урона",IF(AD31&gt;Константы!$B$12,"перегиб",IF(AND(AA31&gt;0,AD31&lt;Константы!$B$13),"слабый","норма")))</f>
        <v/>
      </c>
      <c r="AF31" s="2" t="inlineStr">
        <is>
          <t>Удар завязывает врага узлом на 1,2 с; связанные нитью тоже вязнут.</t>
        </is>
      </c>
      <c r="AG31" s="2" t="inlineStr">
        <is>
          <t>Враг стянут тугим узлом суровой нити.</t>
        </is>
      </c>
      <c r="AH31" s="2">
        <f>"Flat game UI rune icon, 256x256, centered on a dark slate (#1E2230) square tile. An outer "&amp;INDEX(Руны!$C$27:$C$30,MATCH(G31,Руны!$A$27:$A$30,0))&amp;", thick carved "&amp;INDEX(Руны!$F$2:$F$10,MATCH(E31,Руны!$A$2:$A$10,0))&amp;" stroke"&amp;INDEX(Руны!$G$2:$G$10,MATCH(E31,Руны!$A$2:$A$10,0))&amp;" and a "&amp;INDEX(Руны!$I$2:$I$10,MATCH(E31,Руны!$A$2:$A$10,0))&amp;" around its outside. Inside: "&amp;INDEX(Руны!$C$14:$C$23,MATCH(H31,Руны!$A$14:$A$23,0))&amp;". Chiseled straight line ends, flat vector, no perspective, faint outer glow."</f>
        <v/>
      </c>
      <c r="AI31" s="2" t="inlineStr">
        <is>
          <t>[Д] черновик</t>
        </is>
      </c>
    </row>
    <row r="32">
      <c r="A32" s="2" t="inlineStr">
        <is>
          <t>Веретено</t>
        </is>
      </c>
      <c r="B32" s="2" t="inlineStr">
        <is>
          <t>Активный</t>
        </is>
      </c>
      <c r="C32" s="2" t="inlineStr">
        <is>
          <t>Хляби</t>
        </is>
      </c>
      <c r="D32" s="2" t="inlineStr">
        <is>
          <t>Мокошь</t>
        </is>
      </c>
      <c r="E32" s="2" t="inlineStr">
        <is>
          <t>Нити</t>
        </is>
      </c>
      <c r="F32" s="2" t="inlineStr">
        <is>
          <t>Ренж-ДД</t>
        </is>
      </c>
      <c r="G32" s="2" t="inlineStr">
        <is>
          <t>выстрел</t>
        </is>
      </c>
      <c r="H32" s="2" t="inlineStr">
        <is>
          <t>снаряд</t>
        </is>
      </c>
      <c r="I32" s="2" t="inlineStr">
        <is>
          <t>D</t>
        </is>
      </c>
      <c r="J32" s="2">
        <f>INDEX(Константы!$G$18:$G$22,MATCH(I32,Константы!$A$18:$A$22,0))</f>
        <v/>
      </c>
      <c r="K32" s="2">
        <f>INDEX(Константы!$F$18:$F$22,MATCH(I32,Константы!$A$18:$A$22,0))</f>
        <v/>
      </c>
      <c r="L32" s="2">
        <f>INDEX(Константы!$C$18:$C$22,MATCH(I32,Константы!$A$18:$A$22,0))</f>
        <v/>
      </c>
      <c r="M32" s="2">
        <f>G32&amp;", "&amp;H32&amp;", "&amp;E32&amp;", "&amp;F32&amp;IF(I32="S",", Божий","")</f>
        <v/>
      </c>
      <c r="N32" s="6" t="n">
        <v>10</v>
      </c>
      <c r="O32" s="6" t="n">
        <v>3</v>
      </c>
      <c r="P32" s="6" t="n">
        <v>1.1</v>
      </c>
      <c r="Q32" s="6" t="n">
        <v>1</v>
      </c>
      <c r="R32" s="6" t="inlineStr">
        <is>
          <t>оружие дальнее</t>
        </is>
      </c>
      <c r="S32" s="6" t="n">
        <v>0</v>
      </c>
      <c r="T32" s="6" t="n">
        <v>35</v>
      </c>
      <c r="U32" s="6" t="n">
        <v>0</v>
      </c>
      <c r="V32" s="6" t="n">
        <v>0</v>
      </c>
      <c r="W32" s="6" t="n">
        <v>0</v>
      </c>
      <c r="X32" s="2">
        <f>Q32*IF(R32="оружие ближнее",P32*Константы!$B$3,IF(R32="оружие дальнее",P32*Константы!$B$4,P32))</f>
        <v/>
      </c>
      <c r="Y32" s="15">
        <f>INDEX(Константы!$D$18:$D$22,MATCH(I32,Константы!$A$18:$A$22,0))</f>
        <v/>
      </c>
      <c r="Z32" s="16">
        <f>X32*(1+Y32)</f>
        <v/>
      </c>
      <c r="AA32" s="16">
        <f>N32*(1-INDEX(Константы!$E$18:$E$22,MATCH(I32,Константы!$A$18:$A$22,0)))</f>
        <v/>
      </c>
      <c r="AB32" s="14">
        <f>IF(AA32&gt;0,Z32/AA32,0)</f>
        <v/>
      </c>
      <c r="AC32" s="16">
        <f>IF(O32&gt;0,Z32/O32,0)</f>
        <v/>
      </c>
      <c r="AD32" s="14">
        <f>IF(AA32&gt;0,AB32/Константы!$B$14,0)</f>
        <v/>
      </c>
      <c r="AE32" s="2">
        <f>IF(Z32=0,"без урона",IF(AD32&gt;Константы!$B$12,"перегиб",IF(AND(AA32&gt;0,AD32&lt;Константы!$B$13),"слабый","норма")))</f>
        <v/>
      </c>
      <c r="AF32" s="2" t="inlineStr">
        <is>
          <t>Снаряд тянет нить: первые два задетых врага связаны на 4 с.</t>
        </is>
      </c>
      <c r="AG32" s="2" t="inlineStr">
        <is>
          <t>Летящее веретено, за ним разматывается нить.</t>
        </is>
      </c>
      <c r="AH32" s="2">
        <f>"Flat game UI rune icon, 256x256, centered on a dark slate (#1E2230) square tile. An outer "&amp;INDEX(Руны!$C$27:$C$30,MATCH(G32,Руны!$A$27:$A$30,0))&amp;", thick carved "&amp;INDEX(Руны!$F$2:$F$10,MATCH(E32,Руны!$A$2:$A$10,0))&amp;" stroke"&amp;INDEX(Руны!$G$2:$G$10,MATCH(E32,Руны!$A$2:$A$10,0))&amp;" and a "&amp;INDEX(Руны!$I$2:$I$10,MATCH(E32,Руны!$A$2:$A$10,0))&amp;" around its outside. Inside: "&amp;INDEX(Руны!$C$14:$C$23,MATCH(H32,Руны!$A$14:$A$23,0))&amp;". Chiseled straight line ends, flat vector, no perspective, faint outer glow."</f>
        <v/>
      </c>
      <c r="AI32" s="2" t="inlineStr">
        <is>
          <t>[Д] черновик</t>
        </is>
      </c>
    </row>
    <row r="33">
      <c r="A33" s="2" t="inlineStr">
        <is>
          <t>Прядь судьбы</t>
        </is>
      </c>
      <c r="B33" s="2" t="inlineStr">
        <is>
          <t>Активный</t>
        </is>
      </c>
      <c r="C33" s="2" t="inlineStr">
        <is>
          <t>Хляби</t>
        </is>
      </c>
      <c r="D33" s="2" t="inlineStr">
        <is>
          <t>Мокошь</t>
        </is>
      </c>
      <c r="E33" s="2" t="inlineStr">
        <is>
          <t>Нити</t>
        </is>
      </c>
      <c r="F33" s="2" t="inlineStr">
        <is>
          <t>Ренж-ДД</t>
        </is>
      </c>
      <c r="G33" s="2" t="inlineStr">
        <is>
          <t>чары</t>
        </is>
      </c>
      <c r="H33" s="2" t="inlineStr">
        <is>
          <t>цепь</t>
        </is>
      </c>
      <c r="I33" s="2" t="inlineStr">
        <is>
          <t>A</t>
        </is>
      </c>
      <c r="J33" s="2">
        <f>INDEX(Константы!$G$18:$G$22,MATCH(I33,Константы!$A$18:$A$22,0))</f>
        <v/>
      </c>
      <c r="K33" s="2">
        <f>INDEX(Константы!$F$18:$F$22,MATCH(I33,Константы!$A$18:$A$22,0))</f>
        <v/>
      </c>
      <c r="L33" s="2">
        <f>INDEX(Константы!$C$18:$C$22,MATCH(I33,Константы!$A$18:$A$22,0))</f>
        <v/>
      </c>
      <c r="M33" s="2">
        <f>G33&amp;", "&amp;H33&amp;", "&amp;E33&amp;", "&amp;F33&amp;IF(I33="S",", Божий","")</f>
        <v/>
      </c>
      <c r="N33" s="6" t="n">
        <v>35</v>
      </c>
      <c r="O33" s="6" t="n">
        <v>14</v>
      </c>
      <c r="P33" s="6" t="n">
        <v>90</v>
      </c>
      <c r="Q33" s="6" t="n">
        <v>1</v>
      </c>
      <c r="R33" s="6" t="inlineStr">
        <is>
          <t>фикс</t>
        </is>
      </c>
      <c r="S33" s="6" t="n">
        <v>0</v>
      </c>
      <c r="T33" s="6" t="n">
        <v>30</v>
      </c>
      <c r="U33" s="6" t="n">
        <v>0</v>
      </c>
      <c r="V33" s="6" t="n">
        <v>6</v>
      </c>
      <c r="W33" s="6" t="n">
        <v>0</v>
      </c>
      <c r="X33" s="2">
        <f>Q33*IF(R33="оружие ближнее",P33*Константы!$B$3,IF(R33="оружие дальнее",P33*Константы!$B$4,P33))</f>
        <v/>
      </c>
      <c r="Y33" s="15">
        <f>INDEX(Константы!$D$18:$D$22,MATCH(I33,Константы!$A$18:$A$22,0))</f>
        <v/>
      </c>
      <c r="Z33" s="16">
        <f>X33*(1+Y33)</f>
        <v/>
      </c>
      <c r="AA33" s="16">
        <f>N33*(1-INDEX(Константы!$E$18:$E$22,MATCH(I33,Константы!$A$18:$A$22,0)))</f>
        <v/>
      </c>
      <c r="AB33" s="14">
        <f>IF(AA33&gt;0,Z33/AA33,0)</f>
        <v/>
      </c>
      <c r="AC33" s="16">
        <f>IF(O33&gt;0,Z33/O33,0)</f>
        <v/>
      </c>
      <c r="AD33" s="14">
        <f>IF(AA33&gt;0,AB33/Константы!$B$14,0)</f>
        <v/>
      </c>
      <c r="AE33" s="2">
        <f>IF(Z33=0,"без урона",IF(AD33&gt;Константы!$B$12,"перегиб",IF(AND(AA33&gt;0,AD33&lt;Константы!$B$13),"слабый","норма")))</f>
        <v/>
      </c>
      <c r="AF33" s="2" t="inlineStr">
        <is>
          <t>Связывает до 5 врагов на 6 с; урон по одному делится на всех связанных +25%.</t>
        </is>
      </c>
      <c r="AG33" s="2" t="inlineStr">
        <is>
          <t>Пять фигур нанизаны на одну светлую прядь.</t>
        </is>
      </c>
      <c r="AH33" s="2">
        <f>"Flat game UI rune icon, 256x256, centered on a dark slate (#1E2230) square tile. An outer "&amp;INDEX(Руны!$C$27:$C$30,MATCH(G33,Руны!$A$27:$A$30,0))&amp;", thick carved "&amp;INDEX(Руны!$F$2:$F$10,MATCH(E33,Руны!$A$2:$A$10,0))&amp;" stroke"&amp;INDEX(Руны!$G$2:$G$10,MATCH(E33,Руны!$A$2:$A$10,0))&amp;" and a "&amp;INDEX(Руны!$I$2:$I$10,MATCH(E33,Руны!$A$2:$A$10,0))&amp;" around its outside. Inside: "&amp;INDEX(Руны!$C$14:$C$23,MATCH(H33,Руны!$A$14:$A$23,0))&amp;". Chiseled straight line ends, flat vector, no perspective, faint outer glow."</f>
        <v/>
      </c>
      <c r="AI33" s="2" t="inlineStr">
        <is>
          <t>[Д] черновик</t>
        </is>
      </c>
    </row>
    <row r="34">
      <c r="A34" s="2" t="inlineStr">
        <is>
          <t>Кросна</t>
        </is>
      </c>
      <c r="B34" s="2" t="inlineStr">
        <is>
          <t>Активный</t>
        </is>
      </c>
      <c r="C34" s="2" t="inlineStr">
        <is>
          <t>Хляби</t>
        </is>
      </c>
      <c r="D34" s="2" t="inlineStr">
        <is>
          <t>Мокошь</t>
        </is>
      </c>
      <c r="E34" s="2" t="inlineStr">
        <is>
          <t>Нити</t>
        </is>
      </c>
      <c r="F34" s="2" t="inlineStr">
        <is>
          <t>Танк</t>
        </is>
      </c>
      <c r="G34" s="2" t="inlineStr">
        <is>
          <t>чары</t>
        </is>
      </c>
      <c r="H34" s="2" t="inlineStr">
        <is>
          <t>щит</t>
        </is>
      </c>
      <c r="I34" s="2" t="inlineStr">
        <is>
          <t>D</t>
        </is>
      </c>
      <c r="J34" s="2">
        <f>INDEX(Константы!$G$18:$G$22,MATCH(I34,Константы!$A$18:$A$22,0))</f>
        <v/>
      </c>
      <c r="K34" s="2">
        <f>INDEX(Константы!$F$18:$F$22,MATCH(I34,Константы!$A$18:$A$22,0))</f>
        <v/>
      </c>
      <c r="L34" s="2">
        <f>INDEX(Константы!$C$18:$C$22,MATCH(I34,Константы!$A$18:$A$22,0))</f>
        <v/>
      </c>
      <c r="M34" s="2">
        <f>G34&amp;", "&amp;H34&amp;", "&amp;E34&amp;", "&amp;F34&amp;IF(I34="S",", Божий","")</f>
        <v/>
      </c>
      <c r="N34" s="6" t="n">
        <v>25</v>
      </c>
      <c r="O34" s="6" t="n">
        <v>14</v>
      </c>
      <c r="P34" s="6" t="n">
        <v>0</v>
      </c>
      <c r="Q34" s="6" t="n">
        <v>1</v>
      </c>
      <c r="R34" s="6" t="inlineStr">
        <is>
          <t>фикс</t>
        </is>
      </c>
      <c r="S34" s="6" t="n">
        <v>0</v>
      </c>
      <c r="T34" s="6" t="n">
        <v>3</v>
      </c>
      <c r="U34" s="6" t="n">
        <v>0</v>
      </c>
      <c r="V34" s="6" t="n">
        <v>4</v>
      </c>
      <c r="W34" s="6" t="n">
        <v>0</v>
      </c>
      <c r="X34" s="2">
        <f>Q34*IF(R34="оружие ближнее",P34*Константы!$B$3,IF(R34="оружие дальнее",P34*Константы!$B$4,P34))</f>
        <v/>
      </c>
      <c r="Y34" s="15">
        <f>INDEX(Константы!$D$18:$D$22,MATCH(I34,Константы!$A$18:$A$22,0))</f>
        <v/>
      </c>
      <c r="Z34" s="16">
        <f>X34*(1+Y34)</f>
        <v/>
      </c>
      <c r="AA34" s="16">
        <f>N34*(1-INDEX(Константы!$E$18:$E$22,MATCH(I34,Константы!$A$18:$A$22,0)))</f>
        <v/>
      </c>
      <c r="AB34" s="14">
        <f>IF(AA34&gt;0,Z34/AA34,0)</f>
        <v/>
      </c>
      <c r="AC34" s="16">
        <f>IF(O34&gt;0,Z34/O34,0)</f>
        <v/>
      </c>
      <c r="AD34" s="14">
        <f>IF(AA34&gt;0,AB34/Константы!$B$14,0)</f>
        <v/>
      </c>
      <c r="AE34" s="2">
        <f>IF(Z34=0,"без урона",IF(AD34&gt;Константы!$B$12,"перегиб",IF(AND(AA34&gt;0,AD34&lt;Константы!$B$13),"слабый","норма")))</f>
        <v/>
      </c>
      <c r="AF34" s="2" t="inlineStr">
        <is>
          <t>Натягивает ткацкую раму перед собой: ловит снаряды 4 с.</t>
        </is>
      </c>
      <c r="AG34" s="2" t="inlineStr">
        <is>
          <t>Вертикальная ткацкая рама, в нитях застряли стрелы.</t>
        </is>
      </c>
      <c r="AH34" s="2">
        <f>"Flat game UI rune icon, 256x256, centered on a dark slate (#1E2230) square tile. An outer "&amp;INDEX(Руны!$C$27:$C$30,MATCH(G34,Руны!$A$27:$A$30,0))&amp;", thick carved "&amp;INDEX(Руны!$F$2:$F$10,MATCH(E34,Руны!$A$2:$A$10,0))&amp;" stroke"&amp;INDEX(Руны!$G$2:$G$10,MATCH(E34,Руны!$A$2:$A$10,0))&amp;" and a "&amp;INDEX(Руны!$I$2:$I$10,MATCH(E34,Руны!$A$2:$A$10,0))&amp;" around its outside. Inside: "&amp;INDEX(Руны!$C$14:$C$23,MATCH(H34,Руны!$A$14:$A$23,0))&amp;". Chiseled straight line ends, flat vector, no perspective, faint outer glow."</f>
        <v/>
      </c>
      <c r="AI34" s="2" t="inlineStr">
        <is>
          <t>[Д] черновик</t>
        </is>
      </c>
    </row>
    <row r="35">
      <c r="A35" s="2" t="inlineStr">
        <is>
          <t>Чужой шов</t>
        </is>
      </c>
      <c r="B35" s="2" t="inlineStr">
        <is>
          <t>Активный</t>
        </is>
      </c>
      <c r="C35" s="2" t="inlineStr">
        <is>
          <t>Хляби</t>
        </is>
      </c>
      <c r="D35" s="2" t="inlineStr">
        <is>
          <t>Мокошь</t>
        </is>
      </c>
      <c r="E35" s="2" t="inlineStr">
        <is>
          <t>Нити</t>
        </is>
      </c>
      <c r="F35" s="2" t="inlineStr">
        <is>
          <t>Танк</t>
        </is>
      </c>
      <c r="G35" s="2" t="inlineStr">
        <is>
          <t>чары</t>
        </is>
      </c>
      <c r="H35" s="2" t="inlineStr">
        <is>
          <t>щит</t>
        </is>
      </c>
      <c r="I35" s="2" t="inlineStr">
        <is>
          <t>B</t>
        </is>
      </c>
      <c r="J35" s="2">
        <f>INDEX(Константы!$G$18:$G$22,MATCH(I35,Константы!$A$18:$A$22,0))</f>
        <v/>
      </c>
      <c r="K35" s="2">
        <f>INDEX(Константы!$F$18:$F$22,MATCH(I35,Константы!$A$18:$A$22,0))</f>
        <v/>
      </c>
      <c r="L35" s="2">
        <f>INDEX(Константы!$C$18:$C$22,MATCH(I35,Константы!$A$18:$A$22,0))</f>
        <v/>
      </c>
      <c r="M35" s="2">
        <f>G35&amp;", "&amp;H35&amp;", "&amp;E35&amp;", "&amp;F35&amp;IF(I35="S",", Божий","")</f>
        <v/>
      </c>
      <c r="N35" s="6" t="n">
        <v>30</v>
      </c>
      <c r="O35" s="6" t="n">
        <v>20</v>
      </c>
      <c r="P35" s="6" t="n">
        <v>0</v>
      </c>
      <c r="Q35" s="6" t="n">
        <v>1</v>
      </c>
      <c r="R35" s="6" t="inlineStr">
        <is>
          <t>фикс</t>
        </is>
      </c>
      <c r="S35" s="6" t="n">
        <v>0</v>
      </c>
      <c r="T35" s="6" t="n">
        <v>15</v>
      </c>
      <c r="U35" s="6" t="n">
        <v>0</v>
      </c>
      <c r="V35" s="6" t="n">
        <v>6</v>
      </c>
      <c r="W35" s="6" t="n">
        <v>0</v>
      </c>
      <c r="X35" s="2">
        <f>Q35*IF(R35="оружие ближнее",P35*Константы!$B$3,IF(R35="оружие дальнее",P35*Константы!$B$4,P35))</f>
        <v/>
      </c>
      <c r="Y35" s="15">
        <f>INDEX(Константы!$D$18:$D$22,MATCH(I35,Константы!$A$18:$A$22,0))</f>
        <v/>
      </c>
      <c r="Z35" s="16">
        <f>X35*(1+Y35)</f>
        <v/>
      </c>
      <c r="AA35" s="16">
        <f>N35*(1-INDEX(Константы!$E$18:$E$22,MATCH(I35,Константы!$A$18:$A$22,0)))</f>
        <v/>
      </c>
      <c r="AB35" s="14">
        <f>IF(AA35&gt;0,Z35/AA35,0)</f>
        <v/>
      </c>
      <c r="AC35" s="16">
        <f>IF(O35&gt;0,Z35/O35,0)</f>
        <v/>
      </c>
      <c r="AD35" s="14">
        <f>IF(AA35&gt;0,AB35/Константы!$B$14,0)</f>
        <v/>
      </c>
      <c r="AE35" s="2">
        <f>IF(Z35=0,"без урона",IF(AD35&gt;Константы!$B$12,"перегиб",IF(AND(AA35&gt;0,AD35&lt;Константы!$B$13),"слабый","норма")))</f>
        <v/>
      </c>
      <c r="AF35" s="2" t="inlineStr">
        <is>
          <t>6 с: 40% урона по герою переносится на связанного нитью врага.</t>
        </is>
      </c>
      <c r="AG35" s="2" t="inlineStr">
        <is>
          <t>Шов на груди героя, нитка уходит к врагу.</t>
        </is>
      </c>
      <c r="AH35" s="2">
        <f>"Flat game UI rune icon, 256x256, centered on a dark slate (#1E2230) square tile. An outer "&amp;INDEX(Руны!$C$27:$C$30,MATCH(G35,Руны!$A$27:$A$30,0))&amp;", thick carved "&amp;INDEX(Руны!$F$2:$F$10,MATCH(E35,Руны!$A$2:$A$10,0))&amp;" stroke"&amp;INDEX(Руны!$G$2:$G$10,MATCH(E35,Руны!$A$2:$A$10,0))&amp;" and a "&amp;INDEX(Руны!$I$2:$I$10,MATCH(E35,Руны!$A$2:$A$10,0))&amp;" around its outside. Inside: "&amp;INDEX(Руны!$C$14:$C$23,MATCH(H35,Руны!$A$14:$A$23,0))&amp;". Chiseled straight line ends, flat vector, no perspective, faint outer glow."</f>
        <v/>
      </c>
      <c r="AI35" s="2" t="inlineStr">
        <is>
          <t>[Д] черновик</t>
        </is>
      </c>
    </row>
    <row r="36">
      <c r="A36" s="2" t="inlineStr">
        <is>
          <t>Штопка</t>
        </is>
      </c>
      <c r="B36" s="2" t="inlineStr">
        <is>
          <t>Активный</t>
        </is>
      </c>
      <c r="C36" s="2" t="inlineStr">
        <is>
          <t>Хляби</t>
        </is>
      </c>
      <c r="D36" s="2" t="inlineStr">
        <is>
          <t>Мокошь</t>
        </is>
      </c>
      <c r="E36" s="2" t="inlineStr">
        <is>
          <t>Нити</t>
        </is>
      </c>
      <c r="F36" s="2" t="inlineStr">
        <is>
          <t>Хил</t>
        </is>
      </c>
      <c r="G36" s="2" t="inlineStr">
        <is>
          <t>чары</t>
        </is>
      </c>
      <c r="H36" s="2" t="inlineStr">
        <is>
          <t>лечение</t>
        </is>
      </c>
      <c r="I36" s="2" t="inlineStr">
        <is>
          <t>D</t>
        </is>
      </c>
      <c r="J36" s="2">
        <f>INDEX(Константы!$G$18:$G$22,MATCH(I36,Константы!$A$18:$A$22,0))</f>
        <v/>
      </c>
      <c r="K36" s="2">
        <f>INDEX(Константы!$F$18:$F$22,MATCH(I36,Константы!$A$18:$A$22,0))</f>
        <v/>
      </c>
      <c r="L36" s="2">
        <f>INDEX(Константы!$C$18:$C$22,MATCH(I36,Константы!$A$18:$A$22,0))</f>
        <v/>
      </c>
      <c r="M36" s="2">
        <f>G36&amp;", "&amp;H36&amp;", "&amp;E36&amp;", "&amp;F36&amp;IF(I36="S",", Божий","")</f>
        <v/>
      </c>
      <c r="N36" s="6" t="n">
        <v>25</v>
      </c>
      <c r="O36" s="6" t="n">
        <v>12</v>
      </c>
      <c r="P36" s="6" t="n">
        <v>0</v>
      </c>
      <c r="Q36" s="6" t="n">
        <v>1</v>
      </c>
      <c r="R36" s="6" t="inlineStr">
        <is>
          <t>фикс</t>
        </is>
      </c>
      <c r="S36" s="6" t="n">
        <v>0</v>
      </c>
      <c r="T36" s="6" t="n">
        <v>0</v>
      </c>
      <c r="U36" s="6" t="n">
        <v>0</v>
      </c>
      <c r="V36" s="6" t="n">
        <v>4</v>
      </c>
      <c r="W36" s="6" t="n">
        <v>0</v>
      </c>
      <c r="X36" s="2">
        <f>Q36*IF(R36="оружие ближнее",P36*Константы!$B$3,IF(R36="оружие дальнее",P36*Константы!$B$4,P36))</f>
        <v/>
      </c>
      <c r="Y36" s="15">
        <f>INDEX(Константы!$D$18:$D$22,MATCH(I36,Константы!$A$18:$A$22,0))</f>
        <v/>
      </c>
      <c r="Z36" s="16">
        <f>X36*(1+Y36)</f>
        <v/>
      </c>
      <c r="AA36" s="16">
        <f>N36*(1-INDEX(Константы!$E$18:$E$22,MATCH(I36,Константы!$A$18:$A$22,0)))</f>
        <v/>
      </c>
      <c r="AB36" s="14">
        <f>IF(AA36&gt;0,Z36/AA36,0)</f>
        <v/>
      </c>
      <c r="AC36" s="16">
        <f>IF(O36&gt;0,Z36/O36,0)</f>
        <v/>
      </c>
      <c r="AD36" s="14">
        <f>IF(AA36&gt;0,AB36/Константы!$B$14,0)</f>
        <v/>
      </c>
      <c r="AE36" s="2">
        <f>IF(Z36=0,"без урона",IF(AD36&gt;Константы!$B$12,"перегиб",IF(AND(AA36&gt;0,AD36&lt;Константы!$B$13),"слабый","норма")))</f>
        <v/>
      </c>
      <c r="AF36" s="2" t="inlineStr">
        <is>
          <t>Зашивает раны: 25% здоровья за 4 с.</t>
        </is>
      </c>
      <c r="AG36" s="2" t="inlineStr">
        <is>
          <t>Игла сама штопает рваную рану светлой ниткой.</t>
        </is>
      </c>
      <c r="AH36" s="2">
        <f>"Flat game UI rune icon, 256x256, centered on a dark slate (#1E2230) square tile. An outer "&amp;INDEX(Руны!$C$27:$C$30,MATCH(G36,Руны!$A$27:$A$30,0))&amp;", thick carved "&amp;INDEX(Руны!$F$2:$F$10,MATCH(E36,Руны!$A$2:$A$10,0))&amp;" stroke"&amp;INDEX(Руны!$G$2:$G$10,MATCH(E36,Руны!$A$2:$A$10,0))&amp;" and a "&amp;INDEX(Руны!$I$2:$I$10,MATCH(E36,Руны!$A$2:$A$10,0))&amp;" around its outside. Inside: "&amp;INDEX(Руны!$C$14:$C$23,MATCH(H36,Руны!$A$14:$A$23,0))&amp;". Chiseled straight line ends, flat vector, no perspective, faint outer glow."</f>
        <v/>
      </c>
      <c r="AI36" s="2" t="inlineStr">
        <is>
          <t>[Д] черновик</t>
        </is>
      </c>
    </row>
    <row r="37">
      <c r="A37" s="2" t="inlineStr">
        <is>
          <t>Суровая нить</t>
        </is>
      </c>
      <c r="B37" s="2" t="inlineStr">
        <is>
          <t>Активный</t>
        </is>
      </c>
      <c r="C37" s="2" t="inlineStr">
        <is>
          <t>Хляби</t>
        </is>
      </c>
      <c r="D37" s="2" t="inlineStr">
        <is>
          <t>Мокошь</t>
        </is>
      </c>
      <c r="E37" s="2" t="inlineStr">
        <is>
          <t>Нити</t>
        </is>
      </c>
      <c r="F37" s="2" t="inlineStr">
        <is>
          <t>Хил</t>
        </is>
      </c>
      <c r="G37" s="2" t="inlineStr">
        <is>
          <t>чары</t>
        </is>
      </c>
      <c r="H37" s="2" t="inlineStr">
        <is>
          <t>лечение</t>
        </is>
      </c>
      <c r="I37" s="2" t="inlineStr">
        <is>
          <t>C</t>
        </is>
      </c>
      <c r="J37" s="2">
        <f>INDEX(Константы!$G$18:$G$22,MATCH(I37,Константы!$A$18:$A$22,0))</f>
        <v/>
      </c>
      <c r="K37" s="2">
        <f>INDEX(Константы!$F$18:$F$22,MATCH(I37,Константы!$A$18:$A$22,0))</f>
        <v/>
      </c>
      <c r="L37" s="2">
        <f>INDEX(Константы!$C$18:$C$22,MATCH(I37,Константы!$A$18:$A$22,0))</f>
        <v/>
      </c>
      <c r="M37" s="2">
        <f>G37&amp;", "&amp;H37&amp;", "&amp;E37&amp;", "&amp;F37&amp;IF(I37="S",", Божий","")</f>
        <v/>
      </c>
      <c r="N37" s="6" t="n">
        <v>25</v>
      </c>
      <c r="O37" s="6" t="n">
        <v>16</v>
      </c>
      <c r="P37" s="6" t="n">
        <v>0</v>
      </c>
      <c r="Q37" s="6" t="n">
        <v>1</v>
      </c>
      <c r="R37" s="6" t="inlineStr">
        <is>
          <t>фикс</t>
        </is>
      </c>
      <c r="S37" s="6" t="n">
        <v>0</v>
      </c>
      <c r="T37" s="6" t="n">
        <v>20</v>
      </c>
      <c r="U37" s="6" t="n">
        <v>0</v>
      </c>
      <c r="V37" s="6" t="n">
        <v>8</v>
      </c>
      <c r="W37" s="6" t="n">
        <v>0</v>
      </c>
      <c r="X37" s="2">
        <f>Q37*IF(R37="оружие ближнее",P37*Константы!$B$3,IF(R37="оружие дальнее",P37*Константы!$B$4,P37))</f>
        <v/>
      </c>
      <c r="Y37" s="15">
        <f>INDEX(Константы!$D$18:$D$22,MATCH(I37,Константы!$A$18:$A$22,0))</f>
        <v/>
      </c>
      <c r="Z37" s="16">
        <f>X37*(1+Y37)</f>
        <v/>
      </c>
      <c r="AA37" s="16">
        <f>N37*(1-INDEX(Константы!$E$18:$E$22,MATCH(I37,Константы!$A$18:$A$22,0)))</f>
        <v/>
      </c>
      <c r="AB37" s="14">
        <f>IF(AA37&gt;0,Z37/AA37,0)</f>
        <v/>
      </c>
      <c r="AC37" s="16">
        <f>IF(O37&gt;0,Z37/O37,0)</f>
        <v/>
      </c>
      <c r="AD37" s="14">
        <f>IF(AA37&gt;0,AB37/Константы!$B$14,0)</f>
        <v/>
      </c>
      <c r="AE37" s="2">
        <f>IF(Z37=0,"без урона",IF(AD37&gt;Константы!$B$12,"перегиб",IF(AND(AA37&gt;0,AD37&lt;Константы!$B$13),"слабый","норма")))</f>
        <v/>
      </c>
      <c r="AF37" s="2" t="inlineStr">
        <is>
          <t>Связывает героя с союзником на 8 с: любое лечение делится поровну.</t>
        </is>
      </c>
      <c r="AG37" s="2" t="inlineStr">
        <is>
          <t>Грубая льняная нить между двумя фигурами.</t>
        </is>
      </c>
      <c r="AH37" s="2">
        <f>"Flat game UI rune icon, 256x256, centered on a dark slate (#1E2230) square tile. An outer "&amp;INDEX(Руны!$C$27:$C$30,MATCH(G37,Руны!$A$27:$A$30,0))&amp;", thick carved "&amp;INDEX(Руны!$F$2:$F$10,MATCH(E37,Руны!$A$2:$A$10,0))&amp;" stroke"&amp;INDEX(Руны!$G$2:$G$10,MATCH(E37,Руны!$A$2:$A$10,0))&amp;" and a "&amp;INDEX(Руны!$I$2:$I$10,MATCH(E37,Руны!$A$2:$A$10,0))&amp;" around its outside. Inside: "&amp;INDEX(Руны!$C$14:$C$23,MATCH(H37,Руны!$A$14:$A$23,0))&amp;". Chiseled straight line ends, flat vector, no perspective, faint outer glow."</f>
        <v/>
      </c>
      <c r="AI37" s="2" t="inlineStr">
        <is>
          <t>[Д] черновик</t>
        </is>
      </c>
    </row>
    <row r="38">
      <c r="A38" s="2" t="inlineStr">
        <is>
          <t>Кукла-мотанка</t>
        </is>
      </c>
      <c r="B38" s="2" t="inlineStr">
        <is>
          <t>Активный</t>
        </is>
      </c>
      <c r="C38" s="2" t="inlineStr">
        <is>
          <t>Хляби</t>
        </is>
      </c>
      <c r="D38" s="2" t="inlineStr">
        <is>
          <t>Мокошь</t>
        </is>
      </c>
      <c r="E38" s="2" t="inlineStr">
        <is>
          <t>Нити</t>
        </is>
      </c>
      <c r="F38" s="2" t="inlineStr">
        <is>
          <t>Призыв</t>
        </is>
      </c>
      <c r="G38" s="2" t="inlineStr">
        <is>
          <t>чары</t>
        </is>
      </c>
      <c r="H38" s="2" t="inlineStr">
        <is>
          <t>призыв</t>
        </is>
      </c>
      <c r="I38" s="2" t="inlineStr">
        <is>
          <t>D</t>
        </is>
      </c>
      <c r="J38" s="2">
        <f>INDEX(Константы!$G$18:$G$22,MATCH(I38,Константы!$A$18:$A$22,0))</f>
        <v/>
      </c>
      <c r="K38" s="2">
        <f>INDEX(Константы!$F$18:$F$22,MATCH(I38,Константы!$A$18:$A$22,0))</f>
        <v/>
      </c>
      <c r="L38" s="2">
        <f>INDEX(Константы!$C$18:$C$22,MATCH(I38,Константы!$A$18:$A$22,0))</f>
        <v/>
      </c>
      <c r="M38" s="2">
        <f>G38&amp;", "&amp;H38&amp;", "&amp;E38&amp;", "&amp;F38&amp;IF(I38="S",", Божий","")</f>
        <v/>
      </c>
      <c r="N38" s="6" t="n">
        <v>25</v>
      </c>
      <c r="O38" s="6" t="n">
        <v>18</v>
      </c>
      <c r="P38" s="6" t="n">
        <v>0</v>
      </c>
      <c r="Q38" s="6" t="n">
        <v>1</v>
      </c>
      <c r="R38" s="6" t="inlineStr">
        <is>
          <t>фикс</t>
        </is>
      </c>
      <c r="S38" s="6" t="n">
        <v>0</v>
      </c>
      <c r="T38" s="6" t="n">
        <v>10</v>
      </c>
      <c r="U38" s="6" t="n">
        <v>0</v>
      </c>
      <c r="V38" s="6" t="n">
        <v>10</v>
      </c>
      <c r="W38" s="6" t="n">
        <v>0</v>
      </c>
      <c r="X38" s="2">
        <f>Q38*IF(R38="оружие ближнее",P38*Константы!$B$3,IF(R38="оружие дальнее",P38*Константы!$B$4,P38))</f>
        <v/>
      </c>
      <c r="Y38" s="15">
        <f>INDEX(Константы!$D$18:$D$22,MATCH(I38,Константы!$A$18:$A$22,0))</f>
        <v/>
      </c>
      <c r="Z38" s="16">
        <f>X38*(1+Y38)</f>
        <v/>
      </c>
      <c r="AA38" s="16">
        <f>N38*(1-INDEX(Константы!$E$18:$E$22,MATCH(I38,Константы!$A$18:$A$22,0)))</f>
        <v/>
      </c>
      <c r="AB38" s="14">
        <f>IF(AA38&gt;0,Z38/AA38,0)</f>
        <v/>
      </c>
      <c r="AC38" s="16">
        <f>IF(O38&gt;0,Z38/O38,0)</f>
        <v/>
      </c>
      <c r="AD38" s="14">
        <f>IF(AA38&gt;0,AB38/Константы!$B$14,0)</f>
        <v/>
      </c>
      <c r="AE38" s="2">
        <f>IF(Z38=0,"без урона",IF(AD38&gt;Константы!$B$12,"перегиб",IF(AND(AA38&gt;0,AD38&lt;Константы!$B$13),"слабый","норма")))</f>
        <v/>
      </c>
      <c r="AF38" s="2" t="inlineStr">
        <is>
          <t>Кукла без лица 10 с тянет на себя врагов.</t>
        </is>
      </c>
      <c r="AG38" s="2" t="inlineStr">
        <is>
          <t>Тряпичная кукла без лица, крест-накрест обмотана.</t>
        </is>
      </c>
      <c r="AH38" s="2">
        <f>"Flat game UI rune icon, 256x256, centered on a dark slate (#1E2230) square tile. An outer "&amp;INDEX(Руны!$C$27:$C$30,MATCH(G38,Руны!$A$27:$A$30,0))&amp;", thick carved "&amp;INDEX(Руны!$F$2:$F$10,MATCH(E38,Руны!$A$2:$A$10,0))&amp;" stroke"&amp;INDEX(Руны!$G$2:$G$10,MATCH(E38,Руны!$A$2:$A$10,0))&amp;" and a "&amp;INDEX(Руны!$I$2:$I$10,MATCH(E38,Руны!$A$2:$A$10,0))&amp;" around its outside. Inside: "&amp;INDEX(Руны!$C$14:$C$23,MATCH(H38,Руны!$A$14:$A$23,0))&amp;". Chiseled straight line ends, flat vector, no perspective, faint outer glow."</f>
        <v/>
      </c>
      <c r="AI38" s="2" t="inlineStr">
        <is>
          <t>[Д] черновик</t>
        </is>
      </c>
    </row>
    <row r="39">
      <c r="A39" s="2" t="inlineStr">
        <is>
          <t>Прядильщицы</t>
        </is>
      </c>
      <c r="B39" s="2" t="inlineStr">
        <is>
          <t>Активный</t>
        </is>
      </c>
      <c r="C39" s="2" t="inlineStr">
        <is>
          <t>Хляби</t>
        </is>
      </c>
      <c r="D39" s="2" t="inlineStr">
        <is>
          <t>Мокошь</t>
        </is>
      </c>
      <c r="E39" s="2" t="inlineStr">
        <is>
          <t>Нити</t>
        </is>
      </c>
      <c r="F39" s="2" t="inlineStr">
        <is>
          <t>Призыв</t>
        </is>
      </c>
      <c r="G39" s="2" t="inlineStr">
        <is>
          <t>чары</t>
        </is>
      </c>
      <c r="H39" s="2" t="inlineStr">
        <is>
          <t>призыв</t>
        </is>
      </c>
      <c r="I39" s="2" t="inlineStr">
        <is>
          <t>S</t>
        </is>
      </c>
      <c r="J39" s="2">
        <f>INDEX(Константы!$G$18:$G$22,MATCH(I39,Константы!$A$18:$A$22,0))</f>
        <v/>
      </c>
      <c r="K39" s="2">
        <f>INDEX(Константы!$F$18:$F$22,MATCH(I39,Константы!$A$18:$A$22,0))</f>
        <v/>
      </c>
      <c r="L39" s="2">
        <f>INDEX(Константы!$C$18:$C$22,MATCH(I39,Константы!$A$18:$A$22,0))</f>
        <v/>
      </c>
      <c r="M39" s="2">
        <f>G39&amp;", "&amp;H39&amp;", "&amp;E39&amp;", "&amp;F39&amp;IF(I39="S",", Божий","")</f>
        <v/>
      </c>
      <c r="N39" s="6" t="n">
        <v>35</v>
      </c>
      <c r="O39" s="6" t="n">
        <v>40</v>
      </c>
      <c r="P39" s="6" t="n">
        <v>8</v>
      </c>
      <c r="Q39" s="6" t="n">
        <v>20</v>
      </c>
      <c r="R39" s="6" t="inlineStr">
        <is>
          <t>фикс</t>
        </is>
      </c>
      <c r="S39" s="6" t="n">
        <v>0</v>
      </c>
      <c r="T39" s="6" t="n">
        <v>0</v>
      </c>
      <c r="U39" s="6" t="n">
        <v>0</v>
      </c>
      <c r="V39" s="6" t="n">
        <v>20</v>
      </c>
      <c r="W39" s="6" t="n">
        <v>0</v>
      </c>
      <c r="X39" s="2">
        <f>Q39*IF(R39="оружие ближнее",P39*Константы!$B$3,IF(R39="оружие дальнее",P39*Константы!$B$4,P39))</f>
        <v/>
      </c>
      <c r="Y39" s="15">
        <f>INDEX(Константы!$D$18:$D$22,MATCH(I39,Константы!$A$18:$A$22,0))</f>
        <v/>
      </c>
      <c r="Z39" s="16">
        <f>X39*(1+Y39)</f>
        <v/>
      </c>
      <c r="AA39" s="16">
        <f>N39*(1-INDEX(Константы!$E$18:$E$22,MATCH(I39,Константы!$A$18:$A$22,0)))</f>
        <v/>
      </c>
      <c r="AB39" s="14">
        <f>IF(AA39&gt;0,Z39/AA39,0)</f>
        <v/>
      </c>
      <c r="AC39" s="16">
        <f>IF(O39&gt;0,Z39/O39,0)</f>
        <v/>
      </c>
      <c r="AD39" s="14">
        <f>IF(AA39&gt;0,AB39/Константы!$B$14,0)</f>
        <v/>
      </c>
      <c r="AE39" s="2">
        <f>IF(Z39=0,"без урона",IF(AD39&gt;Константы!$B$12,"перегиб",IF(AND(AA39&gt;0,AD39&lt;Константы!$B$13),"слабый","норма")))</f>
        <v/>
      </c>
      <c r="AF39" s="2" t="inlineStr">
        <is>
          <t>Три пряхи на 20 с: связывают врагов нитями, связанные получают +30% урона.</t>
        </is>
      </c>
      <c r="AG39" s="2" t="inlineStr">
        <is>
          <t>Три женские тени за прялками, от прялок нити к врагам.</t>
        </is>
      </c>
      <c r="AH39" s="2">
        <f>"Flat game UI rune icon, 256x256, centered on a dark slate (#1E2230) square tile. An outer "&amp;INDEX(Руны!$C$27:$C$30,MATCH(G39,Руны!$A$27:$A$30,0))&amp;", thick carved "&amp;INDEX(Руны!$F$2:$F$10,MATCH(E39,Руны!$A$2:$A$10,0))&amp;" stroke"&amp;INDEX(Руны!$G$2:$G$10,MATCH(E39,Руны!$A$2:$A$10,0))&amp;" and a "&amp;INDEX(Руны!$I$2:$I$10,MATCH(E39,Руны!$A$2:$A$10,0))&amp;" around its outside. Inside: "&amp;INDEX(Руны!$C$14:$C$23,MATCH(H39,Руны!$A$14:$A$23,0))&amp;". Chiseled straight line ends, flat vector, no perspective, faint outer glow."</f>
        <v/>
      </c>
      <c r="AI39" s="2" t="inlineStr">
        <is>
          <t>[Д] черновик</t>
        </is>
      </c>
    </row>
    <row r="40">
      <c r="A40" s="2" t="inlineStr">
        <is>
          <t>Спутать</t>
        </is>
      </c>
      <c r="B40" s="2" t="inlineStr">
        <is>
          <t>Активный</t>
        </is>
      </c>
      <c r="C40" s="2" t="inlineStr">
        <is>
          <t>Хляби</t>
        </is>
      </c>
      <c r="D40" s="2" t="inlineStr">
        <is>
          <t>Мокошь</t>
        </is>
      </c>
      <c r="E40" s="2" t="inlineStr">
        <is>
          <t>Нити</t>
        </is>
      </c>
      <c r="F40" s="2" t="inlineStr">
        <is>
          <t>Саппорт</t>
        </is>
      </c>
      <c r="G40" s="2" t="inlineStr">
        <is>
          <t>чары</t>
        </is>
      </c>
      <c r="H40" s="2" t="inlineStr">
        <is>
          <t>дебафф</t>
        </is>
      </c>
      <c r="I40" s="2" t="inlineStr">
        <is>
          <t>D</t>
        </is>
      </c>
      <c r="J40" s="2">
        <f>INDEX(Константы!$G$18:$G$22,MATCH(I40,Константы!$A$18:$A$22,0))</f>
        <v/>
      </c>
      <c r="K40" s="2">
        <f>INDEX(Константы!$F$18:$F$22,MATCH(I40,Константы!$A$18:$A$22,0))</f>
        <v/>
      </c>
      <c r="L40" s="2">
        <f>INDEX(Константы!$C$18:$C$22,MATCH(I40,Константы!$A$18:$A$22,0))</f>
        <v/>
      </c>
      <c r="M40" s="2">
        <f>G40&amp;", "&amp;H40&amp;", "&amp;E40&amp;", "&amp;F40&amp;IF(I40="S",", Божий","")</f>
        <v/>
      </c>
      <c r="N40" s="6" t="n">
        <v>20</v>
      </c>
      <c r="O40" s="6" t="n">
        <v>10</v>
      </c>
      <c r="P40" s="6" t="n">
        <v>0</v>
      </c>
      <c r="Q40" s="6" t="n">
        <v>1</v>
      </c>
      <c r="R40" s="6" t="inlineStr">
        <is>
          <t>фикс</t>
        </is>
      </c>
      <c r="S40" s="6" t="n">
        <v>5</v>
      </c>
      <c r="T40" s="6" t="n">
        <v>20</v>
      </c>
      <c r="U40" s="6" t="n">
        <v>0</v>
      </c>
      <c r="V40" s="6" t="n">
        <v>5</v>
      </c>
      <c r="W40" s="6" t="n">
        <v>0</v>
      </c>
      <c r="X40" s="2">
        <f>Q40*IF(R40="оружие ближнее",P40*Константы!$B$3,IF(R40="оружие дальнее",P40*Константы!$B$4,P40))</f>
        <v/>
      </c>
      <c r="Y40" s="15">
        <f>INDEX(Константы!$D$18:$D$22,MATCH(I40,Константы!$A$18:$A$22,0))</f>
        <v/>
      </c>
      <c r="Z40" s="16">
        <f>X40*(1+Y40)</f>
        <v/>
      </c>
      <c r="AA40" s="16">
        <f>N40*(1-INDEX(Константы!$E$18:$E$22,MATCH(I40,Константы!$A$18:$A$22,0)))</f>
        <v/>
      </c>
      <c r="AB40" s="14">
        <f>IF(AA40&gt;0,Z40/AA40,0)</f>
        <v/>
      </c>
      <c r="AC40" s="16">
        <f>IF(O40&gt;0,Z40/O40,0)</f>
        <v/>
      </c>
      <c r="AD40" s="14">
        <f>IF(AA40&gt;0,AB40/Константы!$B$14,0)</f>
        <v/>
      </c>
      <c r="AE40" s="2">
        <f>IF(Z40=0,"без урона",IF(AD40&gt;Константы!$B$12,"перегиб",IF(AND(AA40&gt;0,AD40&lt;Константы!$B$13),"слабый","норма")))</f>
        <v/>
      </c>
      <c r="AF40" s="2" t="inlineStr">
        <is>
          <t>Облако кудели: враги −25% скорости на 5 с.</t>
        </is>
      </c>
      <c r="AG40" s="2" t="inlineStr">
        <is>
          <t>Облако спутанных нитей оседает на врагов.</t>
        </is>
      </c>
      <c r="AH40" s="2">
        <f>"Flat game UI rune icon, 256x256, centered on a dark slate (#1E2230) square tile. An outer "&amp;INDEX(Руны!$C$27:$C$30,MATCH(G40,Руны!$A$27:$A$30,0))&amp;", thick carved "&amp;INDEX(Руны!$F$2:$F$10,MATCH(E40,Руны!$A$2:$A$10,0))&amp;" stroke"&amp;INDEX(Руны!$G$2:$G$10,MATCH(E40,Руны!$A$2:$A$10,0))&amp;" and a "&amp;INDEX(Руны!$I$2:$I$10,MATCH(E40,Руны!$A$2:$A$10,0))&amp;" around its outside. Inside: "&amp;INDEX(Руны!$C$14:$C$23,MATCH(H40,Руны!$A$14:$A$23,0))&amp;". Chiseled straight line ends, flat vector, no perspective, faint outer glow."</f>
        <v/>
      </c>
      <c r="AI40" s="2" t="inlineStr">
        <is>
          <t>[Д] черновик</t>
        </is>
      </c>
    </row>
    <row r="41">
      <c r="A41" s="2" t="inlineStr">
        <is>
          <t>Чьё</t>
        </is>
      </c>
      <c r="B41" s="2" t="inlineStr">
        <is>
          <t>Активный</t>
        </is>
      </c>
      <c r="C41" s="2" t="inlineStr">
        <is>
          <t>Хляби</t>
        </is>
      </c>
      <c r="D41" s="2" t="inlineStr">
        <is>
          <t>Мокошь</t>
        </is>
      </c>
      <c r="E41" s="2" t="inlineStr">
        <is>
          <t>Нити</t>
        </is>
      </c>
      <c r="F41" s="2" t="inlineStr">
        <is>
          <t>Саппорт</t>
        </is>
      </c>
      <c r="G41" s="2" t="inlineStr">
        <is>
          <t>чары</t>
        </is>
      </c>
      <c r="H41" s="2" t="inlineStr">
        <is>
          <t>дебафф</t>
        </is>
      </c>
      <c r="I41" s="2" t="inlineStr">
        <is>
          <t>B</t>
        </is>
      </c>
      <c r="J41" s="2">
        <f>INDEX(Константы!$G$18:$G$22,MATCH(I41,Константы!$A$18:$A$22,0))</f>
        <v/>
      </c>
      <c r="K41" s="2">
        <f>INDEX(Константы!$F$18:$F$22,MATCH(I41,Константы!$A$18:$A$22,0))</f>
        <v/>
      </c>
      <c r="L41" s="2">
        <f>INDEX(Константы!$C$18:$C$22,MATCH(I41,Константы!$A$18:$A$22,0))</f>
        <v/>
      </c>
      <c r="M41" s="2">
        <f>G41&amp;", "&amp;H41&amp;", "&amp;E41&amp;", "&amp;F41&amp;IF(I41="S",", Божий","")</f>
        <v/>
      </c>
      <c r="N41" s="6" t="n">
        <v>25</v>
      </c>
      <c r="O41" s="6" t="n">
        <v>18</v>
      </c>
      <c r="P41" s="6" t="n">
        <v>0</v>
      </c>
      <c r="Q41" s="6" t="n">
        <v>1</v>
      </c>
      <c r="R41" s="6" t="inlineStr">
        <is>
          <t>фикс</t>
        </is>
      </c>
      <c r="S41" s="6" t="n">
        <v>0</v>
      </c>
      <c r="T41" s="6" t="n">
        <v>30</v>
      </c>
      <c r="U41" s="6" t="n">
        <v>0</v>
      </c>
      <c r="V41" s="6" t="n">
        <v>8</v>
      </c>
      <c r="W41" s="6" t="n">
        <v>0</v>
      </c>
      <c r="X41" s="2">
        <f>Q41*IF(R41="оружие ближнее",P41*Константы!$B$3,IF(R41="оружие дальнее",P41*Константы!$B$4,P41))</f>
        <v/>
      </c>
      <c r="Y41" s="15">
        <f>INDEX(Константы!$D$18:$D$22,MATCH(I41,Константы!$A$18:$A$22,0))</f>
        <v/>
      </c>
      <c r="Z41" s="16">
        <f>X41*(1+Y41)</f>
        <v/>
      </c>
      <c r="AA41" s="16">
        <f>N41*(1-INDEX(Константы!$E$18:$E$22,MATCH(I41,Константы!$A$18:$A$22,0)))</f>
        <v/>
      </c>
      <c r="AB41" s="14">
        <f>IF(AA41&gt;0,Z41/AA41,0)</f>
        <v/>
      </c>
      <c r="AC41" s="16">
        <f>IF(O41&gt;0,Z41/O41,0)</f>
        <v/>
      </c>
      <c r="AD41" s="14">
        <f>IF(AA41&gt;0,AB41/Константы!$B$14,0)</f>
        <v/>
      </c>
      <c r="AE41" s="2">
        <f>IF(Z41=0,"без урона",IF(AD41&gt;Константы!$B$12,"перегиб",IF(AND(AA41&gt;0,AD41&lt;Константы!$B$13),"слабый","норма")))</f>
        <v/>
      </c>
      <c r="AF41" s="2" t="inlineStr">
        <is>
          <t>Метка «чьё» на 3 врага: урон по одному отражается по двум другим на 50%.</t>
        </is>
      </c>
      <c r="AG41" s="2" t="inlineStr">
        <is>
          <t>Три бирки на нитях висят на трёх врагах.</t>
        </is>
      </c>
      <c r="AH41" s="2">
        <f>"Flat game UI rune icon, 256x256, centered on a dark slate (#1E2230) square tile. An outer "&amp;INDEX(Руны!$C$27:$C$30,MATCH(G41,Руны!$A$27:$A$30,0))&amp;", thick carved "&amp;INDEX(Руны!$F$2:$F$10,MATCH(E41,Руны!$A$2:$A$10,0))&amp;" stroke"&amp;INDEX(Руны!$G$2:$G$10,MATCH(E41,Руны!$A$2:$A$10,0))&amp;" and a "&amp;INDEX(Руны!$I$2:$I$10,MATCH(E41,Руны!$A$2:$A$10,0))&amp;" around its outside. Inside: "&amp;INDEX(Руны!$C$14:$C$23,MATCH(H41,Руны!$A$14:$A$23,0))&amp;". Chiseled straight line ends, flat vector, no perspective, faint outer glow."</f>
        <v/>
      </c>
      <c r="AI41" s="2" t="inlineStr">
        <is>
          <t>[Д] черновик</t>
        </is>
      </c>
    </row>
    <row r="42">
      <c r="A42" s="2" t="inlineStr">
        <is>
          <t>Челнок</t>
        </is>
      </c>
      <c r="B42" s="2" t="inlineStr">
        <is>
          <t>Активный</t>
        </is>
      </c>
      <c r="C42" s="2" t="inlineStr">
        <is>
          <t>Хляби</t>
        </is>
      </c>
      <c r="D42" s="2" t="inlineStr">
        <is>
          <t>Мокошь</t>
        </is>
      </c>
      <c r="E42" s="2" t="inlineStr">
        <is>
          <t>Нити</t>
        </is>
      </c>
      <c r="F42" s="2" t="inlineStr">
        <is>
          <t>Мобильность</t>
        </is>
      </c>
      <c r="G42" s="2" t="inlineStr">
        <is>
          <t>удар</t>
        </is>
      </c>
      <c r="H42" s="2" t="inlineStr">
        <is>
          <t>рывок</t>
        </is>
      </c>
      <c r="I42" s="2" t="inlineStr">
        <is>
          <t>C</t>
        </is>
      </c>
      <c r="J42" s="2">
        <f>INDEX(Константы!$G$18:$G$22,MATCH(I42,Константы!$A$18:$A$22,0))</f>
        <v/>
      </c>
      <c r="K42" s="2">
        <f>INDEX(Константы!$F$18:$F$22,MATCH(I42,Константы!$A$18:$A$22,0))</f>
        <v/>
      </c>
      <c r="L42" s="2">
        <f>INDEX(Константы!$C$18:$C$22,MATCH(I42,Константы!$A$18:$A$22,0))</f>
        <v/>
      </c>
      <c r="M42" s="2">
        <f>G42&amp;", "&amp;H42&amp;", "&amp;E42&amp;", "&amp;F42&amp;IF(I42="S",", Божий","")</f>
        <v/>
      </c>
      <c r="N42" s="6" t="n">
        <v>25</v>
      </c>
      <c r="O42" s="6" t="n">
        <v>8</v>
      </c>
      <c r="P42" s="6" t="n">
        <v>1.4</v>
      </c>
      <c r="Q42" s="6" t="n">
        <v>1</v>
      </c>
      <c r="R42" s="6" t="inlineStr">
        <is>
          <t>оружие ближнее</t>
        </is>
      </c>
      <c r="S42" s="6" t="n">
        <v>0</v>
      </c>
      <c r="T42" s="6" t="n">
        <v>8</v>
      </c>
      <c r="U42" s="6" t="n">
        <v>0</v>
      </c>
      <c r="V42" s="6" t="n">
        <v>0</v>
      </c>
      <c r="W42" s="6" t="n">
        <v>0</v>
      </c>
      <c r="X42" s="2">
        <f>Q42*IF(R42="оружие ближнее",P42*Константы!$B$3,IF(R42="оружие дальнее",P42*Константы!$B$4,P42))</f>
        <v/>
      </c>
      <c r="Y42" s="15">
        <f>INDEX(Константы!$D$18:$D$22,MATCH(I42,Константы!$A$18:$A$22,0))</f>
        <v/>
      </c>
      <c r="Z42" s="16">
        <f>X42*(1+Y42)</f>
        <v/>
      </c>
      <c r="AA42" s="16">
        <f>N42*(1-INDEX(Константы!$E$18:$E$22,MATCH(I42,Константы!$A$18:$A$22,0)))</f>
        <v/>
      </c>
      <c r="AB42" s="14">
        <f>IF(AA42&gt;0,Z42/AA42,0)</f>
        <v/>
      </c>
      <c r="AC42" s="16">
        <f>IF(O42&gt;0,Z42/O42,0)</f>
        <v/>
      </c>
      <c r="AD42" s="14">
        <f>IF(AA42&gt;0,AB42/Константы!$B$14,0)</f>
        <v/>
      </c>
      <c r="AE42" s="2">
        <f>IF(Z42=0,"без урона",IF(AD42&gt;Константы!$B$12,"перегиб",IF(AND(AA42&gt;0,AD42&lt;Константы!$B$13),"слабый","норма")))</f>
        <v/>
      </c>
      <c r="AF42" s="2" t="inlineStr">
        <is>
          <t>Прошивает строй насквозь; все пройденные враги связаны нитью.</t>
        </is>
      </c>
      <c r="AG42" s="2" t="inlineStr">
        <is>
          <t>Герой прошивает врагов как челнок основу.</t>
        </is>
      </c>
      <c r="AH42" s="2">
        <f>"Flat game UI rune icon, 256x256, centered on a dark slate (#1E2230) square tile. An outer "&amp;INDEX(Руны!$C$27:$C$30,MATCH(G42,Руны!$A$27:$A$30,0))&amp;", thick carved "&amp;INDEX(Руны!$F$2:$F$10,MATCH(E42,Руны!$A$2:$A$10,0))&amp;" stroke"&amp;INDEX(Руны!$G$2:$G$10,MATCH(E42,Руны!$A$2:$A$10,0))&amp;" and a "&amp;INDEX(Руны!$I$2:$I$10,MATCH(E42,Руны!$A$2:$A$10,0))&amp;" around its outside. Inside: "&amp;INDEX(Руны!$C$14:$C$23,MATCH(H42,Руны!$A$14:$A$23,0))&amp;". Chiseled straight line ends, flat vector, no perspective, faint outer glow."</f>
        <v/>
      </c>
      <c r="AI42" s="2" t="inlineStr">
        <is>
          <t>[Д] черновик</t>
        </is>
      </c>
    </row>
    <row r="43">
      <c r="A43" s="2" t="inlineStr">
        <is>
          <t>Нить Мокоши</t>
        </is>
      </c>
      <c r="B43" s="2" t="inlineStr">
        <is>
          <t>Активный</t>
        </is>
      </c>
      <c r="C43" s="2" t="inlineStr">
        <is>
          <t>Хляби</t>
        </is>
      </c>
      <c r="D43" s="2" t="inlineStr">
        <is>
          <t>Мокошь</t>
        </is>
      </c>
      <c r="E43" s="2" t="inlineStr">
        <is>
          <t>Нити</t>
        </is>
      </c>
      <c r="F43" s="2" t="inlineStr">
        <is>
          <t>Мобильность</t>
        </is>
      </c>
      <c r="G43" s="2" t="inlineStr">
        <is>
          <t>чары</t>
        </is>
      </c>
      <c r="H43" s="2" t="inlineStr">
        <is>
          <t>рывок</t>
        </is>
      </c>
      <c r="I43" s="2" t="inlineStr">
        <is>
          <t>S</t>
        </is>
      </c>
      <c r="J43" s="2">
        <f>INDEX(Константы!$G$18:$G$22,MATCH(I43,Константы!$A$18:$A$22,0))</f>
        <v/>
      </c>
      <c r="K43" s="2">
        <f>INDEX(Константы!$F$18:$F$22,MATCH(I43,Константы!$A$18:$A$22,0))</f>
        <v/>
      </c>
      <c r="L43" s="2">
        <f>INDEX(Константы!$C$18:$C$22,MATCH(I43,Константы!$A$18:$A$22,0))</f>
        <v/>
      </c>
      <c r="M43" s="2">
        <f>G43&amp;", "&amp;H43&amp;", "&amp;E43&amp;", "&amp;F43&amp;IF(I43="S",", Божий","")</f>
        <v/>
      </c>
      <c r="N43" s="6" t="n">
        <v>30</v>
      </c>
      <c r="O43" s="6" t="n">
        <v>14</v>
      </c>
      <c r="P43" s="6" t="n">
        <v>60</v>
      </c>
      <c r="Q43" s="6" t="n">
        <v>1</v>
      </c>
      <c r="R43" s="6" t="inlineStr">
        <is>
          <t>фикс</t>
        </is>
      </c>
      <c r="S43" s="6" t="n">
        <v>0</v>
      </c>
      <c r="T43" s="6" t="n">
        <v>25</v>
      </c>
      <c r="U43" s="6" t="n">
        <v>0</v>
      </c>
      <c r="V43" s="6" t="n">
        <v>0</v>
      </c>
      <c r="W43" s="6" t="n">
        <v>0.8</v>
      </c>
      <c r="X43" s="2">
        <f>Q43*IF(R43="оружие ближнее",P43*Константы!$B$3,IF(R43="оружие дальнее",P43*Константы!$B$4,P43))</f>
        <v/>
      </c>
      <c r="Y43" s="15">
        <f>INDEX(Константы!$D$18:$D$22,MATCH(I43,Константы!$A$18:$A$22,0))</f>
        <v/>
      </c>
      <c r="Z43" s="16">
        <f>X43*(1+Y43)</f>
        <v/>
      </c>
      <c r="AA43" s="16">
        <f>N43*(1-INDEX(Константы!$E$18:$E$22,MATCH(I43,Константы!$A$18:$A$22,0)))</f>
        <v/>
      </c>
      <c r="AB43" s="14">
        <f>IF(AA43&gt;0,Z43/AA43,0)</f>
        <v/>
      </c>
      <c r="AC43" s="16">
        <f>IF(O43&gt;0,Z43/O43,0)</f>
        <v/>
      </c>
      <c r="AD43" s="14">
        <f>IF(AA43&gt;0,AB43/Константы!$B$14,0)</f>
        <v/>
      </c>
      <c r="AE43" s="2">
        <f>IF(Z43=0,"без урона",IF(AD43&gt;Константы!$B$12,"перегиб",IF(AND(AA43&gt;0,AD43&lt;Константы!$B$13),"слабый","норма")))</f>
        <v/>
      </c>
      <c r="AF43" s="2" t="inlineStr">
        <is>
          <t>Притягивает себя по нити к точке; все по пути стянуты вместе и оглушены.</t>
        </is>
      </c>
      <c r="AG43" s="2" t="inlineStr">
        <is>
          <t>Натянутая до звона нить, по ней летит герой, враги сбиты в клубок.</t>
        </is>
      </c>
      <c r="AH43" s="2">
        <f>"Flat game UI rune icon, 256x256, centered on a dark slate (#1E2230) square tile. An outer "&amp;INDEX(Руны!$C$27:$C$30,MATCH(G43,Руны!$A$27:$A$30,0))&amp;", thick carved "&amp;INDEX(Руны!$F$2:$F$10,MATCH(E43,Руны!$A$2:$A$10,0))&amp;" stroke"&amp;INDEX(Руны!$G$2:$G$10,MATCH(E43,Руны!$A$2:$A$10,0))&amp;" and a "&amp;INDEX(Руны!$I$2:$I$10,MATCH(E43,Руны!$A$2:$A$10,0))&amp;" around its outside. Inside: "&amp;INDEX(Руны!$C$14:$C$23,MATCH(H43,Руны!$A$14:$A$23,0))&amp;". Chiseled straight line ends, flat vector, no perspective, faint outer glow."</f>
        <v/>
      </c>
      <c r="AI43" s="2" t="inlineStr">
        <is>
          <t>[Д] черновик</t>
        </is>
      </c>
    </row>
    <row r="44">
      <c r="A44" s="2" t="inlineStr">
        <is>
          <t>Серп</t>
        </is>
      </c>
      <c r="B44" s="2" t="inlineStr">
        <is>
          <t>Активный</t>
        </is>
      </c>
      <c r="C44" s="2" t="inlineStr">
        <is>
          <t>Кострище</t>
        </is>
      </c>
      <c r="D44" s="2" t="inlineStr">
        <is>
          <t>Ярило</t>
        </is>
      </c>
      <c r="E44" s="2" t="inlineStr">
        <is>
          <t>Ярь</t>
        </is>
      </c>
      <c r="F44" s="2" t="inlineStr">
        <is>
          <t>Мили-ДД</t>
        </is>
      </c>
      <c r="G44" s="2" t="inlineStr">
        <is>
          <t>удар</t>
        </is>
      </c>
      <c r="H44" s="2" t="inlineStr">
        <is>
          <t>площадь</t>
        </is>
      </c>
      <c r="I44" s="2" t="inlineStr">
        <is>
          <t>D</t>
        </is>
      </c>
      <c r="J44" s="2">
        <f>INDEX(Константы!$G$18:$G$22,MATCH(I44,Константы!$A$18:$A$22,0))</f>
        <v/>
      </c>
      <c r="K44" s="2">
        <f>INDEX(Константы!$F$18:$F$22,MATCH(I44,Константы!$A$18:$A$22,0))</f>
        <v/>
      </c>
      <c r="L44" s="2">
        <f>INDEX(Константы!$C$18:$C$22,MATCH(I44,Константы!$A$18:$A$22,0))</f>
        <v/>
      </c>
      <c r="M44" s="2">
        <f>G44&amp;", "&amp;H44&amp;", "&amp;E44&amp;", "&amp;F44&amp;IF(I44="S",", Божий","")</f>
        <v/>
      </c>
      <c r="N44" s="6" t="n">
        <v>20</v>
      </c>
      <c r="O44" s="6" t="n">
        <v>4</v>
      </c>
      <c r="P44" s="6" t="n">
        <v>1.7</v>
      </c>
      <c r="Q44" s="6" t="n">
        <v>1</v>
      </c>
      <c r="R44" s="6" t="inlineStr">
        <is>
          <t>оружие ближнее</t>
        </is>
      </c>
      <c r="S44" s="6" t="n">
        <v>3</v>
      </c>
      <c r="T44" s="6" t="n">
        <v>0</v>
      </c>
      <c r="U44" s="6" t="n">
        <v>0</v>
      </c>
      <c r="V44" s="6" t="n">
        <v>0</v>
      </c>
      <c r="W44" s="6" t="n">
        <v>0</v>
      </c>
      <c r="X44" s="2">
        <f>Q44*IF(R44="оружие ближнее",P44*Константы!$B$3,IF(R44="оружие дальнее",P44*Константы!$B$4,P44))</f>
        <v/>
      </c>
      <c r="Y44" s="15">
        <f>INDEX(Константы!$D$18:$D$22,MATCH(I44,Константы!$A$18:$A$22,0))</f>
        <v/>
      </c>
      <c r="Z44" s="16">
        <f>X44*(1+Y44)</f>
        <v/>
      </c>
      <c r="AA44" s="16">
        <f>N44*(1-INDEX(Константы!$E$18:$E$22,MATCH(I44,Константы!$A$18:$A$22,0)))</f>
        <v/>
      </c>
      <c r="AB44" s="14">
        <f>IF(AA44&gt;0,Z44/AA44,0)</f>
        <v/>
      </c>
      <c r="AC44" s="16">
        <f>IF(O44&gt;0,Z44/O44,0)</f>
        <v/>
      </c>
      <c r="AD44" s="14">
        <f>IF(AA44&gt;0,AB44/Константы!$B$14,0)</f>
        <v/>
      </c>
      <c r="AE44" s="2">
        <f>IF(Z44=0,"без урона",IF(AD44&gt;Константы!$B$12,"перегиб",IF(AND(AA44&gt;0,AD44&lt;Константы!$B$13),"слабый","норма")))</f>
        <v/>
      </c>
      <c r="AF44" s="2" t="inlineStr">
        <is>
          <t>Круговой удар; +1% урона за каждый 1% потерянного здоровья (до +50%).</t>
        </is>
      </c>
      <c r="AG44" s="2" t="inlineStr">
        <is>
          <t>Широкий полукруг жатвы, колосья и враги падают вместе.</t>
        </is>
      </c>
      <c r="AH44" s="2">
        <f>"Flat game UI rune icon, 256x256, centered on a dark slate (#1E2230) square tile. An outer "&amp;INDEX(Руны!$C$27:$C$30,MATCH(G44,Руны!$A$27:$A$30,0))&amp;", thick carved "&amp;INDEX(Руны!$F$2:$F$10,MATCH(E44,Руны!$A$2:$A$10,0))&amp;" stroke"&amp;INDEX(Руны!$G$2:$G$10,MATCH(E44,Руны!$A$2:$A$10,0))&amp;" and a "&amp;INDEX(Руны!$I$2:$I$10,MATCH(E44,Руны!$A$2:$A$10,0))&amp;" around its outside. Inside: "&amp;INDEX(Руны!$C$14:$C$23,MATCH(H44,Руны!$A$14:$A$23,0))&amp;". Chiseled straight line ends, flat vector, no perspective, faint outer glow."</f>
        <v/>
      </c>
      <c r="AI44" s="2" t="inlineStr">
        <is>
          <t>[Д] черновик</t>
        </is>
      </c>
    </row>
    <row r="45">
      <c r="A45" s="2" t="inlineStr">
        <is>
          <t>Ярый замах</t>
        </is>
      </c>
      <c r="B45" s="2" t="inlineStr">
        <is>
          <t>Активный</t>
        </is>
      </c>
      <c r="C45" s="2" t="inlineStr">
        <is>
          <t>Кострище</t>
        </is>
      </c>
      <c r="D45" s="2" t="inlineStr">
        <is>
          <t>Ярило</t>
        </is>
      </c>
      <c r="E45" s="2" t="inlineStr">
        <is>
          <t>Ярь</t>
        </is>
      </c>
      <c r="F45" s="2" t="inlineStr">
        <is>
          <t>Мили-ДД</t>
        </is>
      </c>
      <c r="G45" s="2" t="inlineStr">
        <is>
          <t>удар</t>
        </is>
      </c>
      <c r="H45" s="2" t="inlineStr">
        <is>
          <t>площадь</t>
        </is>
      </c>
      <c r="I45" s="2" t="inlineStr">
        <is>
          <t>C</t>
        </is>
      </c>
      <c r="J45" s="2">
        <f>INDEX(Константы!$G$18:$G$22,MATCH(I45,Константы!$A$18:$A$22,0))</f>
        <v/>
      </c>
      <c r="K45" s="2">
        <f>INDEX(Константы!$F$18:$F$22,MATCH(I45,Константы!$A$18:$A$22,0))</f>
        <v/>
      </c>
      <c r="L45" s="2">
        <f>INDEX(Константы!$C$18:$C$22,MATCH(I45,Константы!$A$18:$A$22,0))</f>
        <v/>
      </c>
      <c r="M45" s="2">
        <f>G45&amp;", "&amp;H45&amp;", "&amp;E45&amp;", "&amp;F45&amp;IF(I45="S",", Божий","")</f>
        <v/>
      </c>
      <c r="N45" s="6" t="n">
        <v>30</v>
      </c>
      <c r="O45" s="6" t="n">
        <v>8</v>
      </c>
      <c r="P45" s="6" t="n">
        <v>2.6</v>
      </c>
      <c r="Q45" s="6" t="n">
        <v>1</v>
      </c>
      <c r="R45" s="6" t="inlineStr">
        <is>
          <t>оружие ближнее</t>
        </is>
      </c>
      <c r="S45" s="6" t="n">
        <v>4</v>
      </c>
      <c r="T45" s="6" t="n">
        <v>0</v>
      </c>
      <c r="U45" s="6" t="n">
        <v>0.5</v>
      </c>
      <c r="V45" s="6" t="n">
        <v>0</v>
      </c>
      <c r="W45" s="6" t="n">
        <v>0</v>
      </c>
      <c r="X45" s="2">
        <f>Q45*IF(R45="оружие ближнее",P45*Константы!$B$3,IF(R45="оружие дальнее",P45*Константы!$B$4,P45))</f>
        <v/>
      </c>
      <c r="Y45" s="15">
        <f>INDEX(Константы!$D$18:$D$22,MATCH(I45,Константы!$A$18:$A$22,0))</f>
        <v/>
      </c>
      <c r="Z45" s="16">
        <f>X45*(1+Y45)</f>
        <v/>
      </c>
      <c r="AA45" s="16">
        <f>N45*(1-INDEX(Константы!$E$18:$E$22,MATCH(I45,Константы!$A$18:$A$22,0)))</f>
        <v/>
      </c>
      <c r="AB45" s="14">
        <f>IF(AA45&gt;0,Z45/AA45,0)</f>
        <v/>
      </c>
      <c r="AC45" s="16">
        <f>IF(O45&gt;0,Z45/O45,0)</f>
        <v/>
      </c>
      <c r="AD45" s="14">
        <f>IF(AA45&gt;0,AB45/Константы!$B$14,0)</f>
        <v/>
      </c>
      <c r="AE45" s="2">
        <f>IF(Z45=0,"без урона",IF(AD45&gt;Константы!$B$12,"перегиб",IF(AND(AA45&gt;0,AD45&lt;Константы!$B$13),"слабый","норма")))</f>
        <v/>
      </c>
      <c r="AF45" s="2" t="inlineStr">
        <is>
          <t>Замах с зарядом; ниже 30% здоровья удар вдвое шире.</t>
        </is>
      </c>
      <c r="AG45" s="2" t="inlineStr">
        <is>
          <t>Замах над головой, оружие горит багровым.</t>
        </is>
      </c>
      <c r="AH45" s="2">
        <f>"Flat game UI rune icon, 256x256, centered on a dark slate (#1E2230) square tile. An outer "&amp;INDEX(Руны!$C$27:$C$30,MATCH(G45,Руны!$A$27:$A$30,0))&amp;", thick carved "&amp;INDEX(Руны!$F$2:$F$10,MATCH(E45,Руны!$A$2:$A$10,0))&amp;" stroke"&amp;INDEX(Руны!$G$2:$G$10,MATCH(E45,Руны!$A$2:$A$10,0))&amp;" and a "&amp;INDEX(Руны!$I$2:$I$10,MATCH(E45,Руны!$A$2:$A$10,0))&amp;" around its outside. Inside: "&amp;INDEX(Руны!$C$14:$C$23,MATCH(H45,Руны!$A$14:$A$23,0))&amp;". Chiseled straight line ends, flat vector, no perspective, faint outer glow."</f>
        <v/>
      </c>
      <c r="AI45" s="2" t="inlineStr">
        <is>
          <t>[Д] черновик</t>
        </is>
      </c>
    </row>
    <row r="46">
      <c r="A46" s="2" t="inlineStr">
        <is>
          <t>Искра жатвы</t>
        </is>
      </c>
      <c r="B46" s="2" t="inlineStr">
        <is>
          <t>Активный</t>
        </is>
      </c>
      <c r="C46" s="2" t="inlineStr">
        <is>
          <t>Кострище</t>
        </is>
      </c>
      <c r="D46" s="2" t="inlineStr">
        <is>
          <t>Ярило</t>
        </is>
      </c>
      <c r="E46" s="2" t="inlineStr">
        <is>
          <t>Ярь</t>
        </is>
      </c>
      <c r="F46" s="2" t="inlineStr">
        <is>
          <t>Ренж-ДД</t>
        </is>
      </c>
      <c r="G46" s="2" t="inlineStr">
        <is>
          <t>выстрел</t>
        </is>
      </c>
      <c r="H46" s="2" t="inlineStr">
        <is>
          <t>снаряд</t>
        </is>
      </c>
      <c r="I46" s="2" t="inlineStr">
        <is>
          <t>D</t>
        </is>
      </c>
      <c r="J46" s="2">
        <f>INDEX(Константы!$G$18:$G$22,MATCH(I46,Константы!$A$18:$A$22,0))</f>
        <v/>
      </c>
      <c r="K46" s="2">
        <f>INDEX(Константы!$F$18:$F$22,MATCH(I46,Константы!$A$18:$A$22,0))</f>
        <v/>
      </c>
      <c r="L46" s="2">
        <f>INDEX(Константы!$C$18:$C$22,MATCH(I46,Константы!$A$18:$A$22,0))</f>
        <v/>
      </c>
      <c r="M46" s="2">
        <f>G46&amp;", "&amp;H46&amp;", "&amp;E46&amp;", "&amp;F46&amp;IF(I46="S",", Божий","")</f>
        <v/>
      </c>
      <c r="N46" s="6" t="n">
        <v>10</v>
      </c>
      <c r="O46" s="6" t="n">
        <v>2</v>
      </c>
      <c r="P46" s="6" t="n">
        <v>1.1</v>
      </c>
      <c r="Q46" s="6" t="n">
        <v>1</v>
      </c>
      <c r="R46" s="6" t="inlineStr">
        <is>
          <t>оружие дальнее</t>
        </is>
      </c>
      <c r="S46" s="6" t="n">
        <v>0</v>
      </c>
      <c r="T46" s="6" t="n">
        <v>35</v>
      </c>
      <c r="U46" s="6" t="n">
        <v>0</v>
      </c>
      <c r="V46" s="6" t="n">
        <v>3</v>
      </c>
      <c r="W46" s="6" t="n">
        <v>0</v>
      </c>
      <c r="X46" s="2">
        <f>Q46*IF(R46="оружие ближнее",P46*Константы!$B$3,IF(R46="оружие дальнее",P46*Константы!$B$4,P46))</f>
        <v/>
      </c>
      <c r="Y46" s="15">
        <f>INDEX(Константы!$D$18:$D$22,MATCH(I46,Константы!$A$18:$A$22,0))</f>
        <v/>
      </c>
      <c r="Z46" s="16">
        <f>X46*(1+Y46)</f>
        <v/>
      </c>
      <c r="AA46" s="16">
        <f>N46*(1-INDEX(Константы!$E$18:$E$22,MATCH(I46,Константы!$A$18:$A$22,0)))</f>
        <v/>
      </c>
      <c r="AB46" s="14">
        <f>IF(AA46&gt;0,Z46/AA46,0)</f>
        <v/>
      </c>
      <c r="AC46" s="16">
        <f>IF(O46&gt;0,Z46/O46,0)</f>
        <v/>
      </c>
      <c r="AD46" s="14">
        <f>IF(AA46&gt;0,AB46/Константы!$B$14,0)</f>
        <v/>
      </c>
      <c r="AE46" s="2">
        <f>IF(Z46=0,"без урона",IF(AD46&gt;Константы!$B$12,"перегиб",IF(AND(AA46&gt;0,AD46&lt;Константы!$B$13),"слабый","норма")))</f>
        <v/>
      </c>
      <c r="AF46" s="2" t="inlineStr">
        <is>
          <t>Выстрел поджигает врага на 3 с; убийство горящего — +5 Ярь.</t>
        </is>
      </c>
      <c r="AG46" s="2" t="inlineStr">
        <is>
          <t>Горящий колос вместо пули.</t>
        </is>
      </c>
      <c r="AH46" s="2">
        <f>"Flat game UI rune icon, 256x256, centered on a dark slate (#1E2230) square tile. An outer "&amp;INDEX(Руны!$C$27:$C$30,MATCH(G46,Руны!$A$27:$A$30,0))&amp;", thick carved "&amp;INDEX(Руны!$F$2:$F$10,MATCH(E46,Руны!$A$2:$A$10,0))&amp;" stroke"&amp;INDEX(Руны!$G$2:$G$10,MATCH(E46,Руны!$A$2:$A$10,0))&amp;" and a "&amp;INDEX(Руны!$I$2:$I$10,MATCH(E46,Руны!$A$2:$A$10,0))&amp;" around its outside. Inside: "&amp;INDEX(Руны!$C$14:$C$23,MATCH(H46,Руны!$A$14:$A$23,0))&amp;". Chiseled straight line ends, flat vector, no perspective, faint outer glow."</f>
        <v/>
      </c>
      <c r="AI46" s="2" t="inlineStr">
        <is>
          <t>[Д] черновик</t>
        </is>
      </c>
    </row>
    <row r="47">
      <c r="A47" s="2" t="inlineStr">
        <is>
          <t>Колос-копьё</t>
        </is>
      </c>
      <c r="B47" s="2" t="inlineStr">
        <is>
          <t>Активный</t>
        </is>
      </c>
      <c r="C47" s="2" t="inlineStr">
        <is>
          <t>Кострище</t>
        </is>
      </c>
      <c r="D47" s="2" t="inlineStr">
        <is>
          <t>Ярило</t>
        </is>
      </c>
      <c r="E47" s="2" t="inlineStr">
        <is>
          <t>Ярь</t>
        </is>
      </c>
      <c r="F47" s="2" t="inlineStr">
        <is>
          <t>Ренж-ДД</t>
        </is>
      </c>
      <c r="G47" s="2" t="inlineStr">
        <is>
          <t>чары</t>
        </is>
      </c>
      <c r="H47" s="2" t="inlineStr">
        <is>
          <t>снаряд</t>
        </is>
      </c>
      <c r="I47" s="2" t="inlineStr">
        <is>
          <t>B</t>
        </is>
      </c>
      <c r="J47" s="2">
        <f>INDEX(Константы!$G$18:$G$22,MATCH(I47,Константы!$A$18:$A$22,0))</f>
        <v/>
      </c>
      <c r="K47" s="2">
        <f>INDEX(Константы!$F$18:$F$22,MATCH(I47,Константы!$A$18:$A$22,0))</f>
        <v/>
      </c>
      <c r="L47" s="2">
        <f>INDEX(Константы!$C$18:$C$22,MATCH(I47,Константы!$A$18:$A$22,0))</f>
        <v/>
      </c>
      <c r="M47" s="2">
        <f>G47&amp;", "&amp;H47&amp;", "&amp;E47&amp;", "&amp;F47&amp;IF(I47="S",", Божий","")</f>
        <v/>
      </c>
      <c r="N47" s="6" t="n">
        <v>30</v>
      </c>
      <c r="O47" s="6" t="n">
        <v>10</v>
      </c>
      <c r="P47" s="6" t="n">
        <v>110</v>
      </c>
      <c r="Q47" s="6" t="n">
        <v>1</v>
      </c>
      <c r="R47" s="6" t="inlineStr">
        <is>
          <t>фикс</t>
        </is>
      </c>
      <c r="S47" s="6" t="n">
        <v>0</v>
      </c>
      <c r="T47" s="6" t="n">
        <v>35</v>
      </c>
      <c r="U47" s="6" t="n">
        <v>0</v>
      </c>
      <c r="V47" s="6" t="n">
        <v>0</v>
      </c>
      <c r="W47" s="6" t="n">
        <v>0</v>
      </c>
      <c r="X47" s="2">
        <f>Q47*IF(R47="оружие ближнее",P47*Константы!$B$3,IF(R47="оружие дальнее",P47*Константы!$B$4,P47))</f>
        <v/>
      </c>
      <c r="Y47" s="15">
        <f>INDEX(Константы!$D$18:$D$22,MATCH(I47,Константы!$A$18:$A$22,0))</f>
        <v/>
      </c>
      <c r="Z47" s="16">
        <f>X47*(1+Y47)</f>
        <v/>
      </c>
      <c r="AA47" s="16">
        <f>N47*(1-INDEX(Константы!$E$18:$E$22,MATCH(I47,Константы!$A$18:$A$22,0)))</f>
        <v/>
      </c>
      <c r="AB47" s="14">
        <f>IF(AA47&gt;0,Z47/AA47,0)</f>
        <v/>
      </c>
      <c r="AC47" s="16">
        <f>IF(O47&gt;0,Z47/O47,0)</f>
        <v/>
      </c>
      <c r="AD47" s="14">
        <f>IF(AA47&gt;0,AB47/Константы!$B$14,0)</f>
        <v/>
      </c>
      <c r="AE47" s="2">
        <f>IF(Z47=0,"без урона",IF(AD47&gt;Константы!$B$12,"перегиб",IF(AND(AA47&gt;0,AD47&lt;Константы!$B$13),"слабый","норма")))</f>
        <v/>
      </c>
      <c r="AF47" s="2" t="inlineStr">
        <is>
          <t>Бросок огненного колоса; пробивает всех, урон +30% если здоровье героя ниже половины.</t>
        </is>
      </c>
      <c r="AG47" s="2" t="inlineStr">
        <is>
          <t>Длинное копьё из спелых колосьев в огне.</t>
        </is>
      </c>
      <c r="AH47" s="2">
        <f>"Flat game UI rune icon, 256x256, centered on a dark slate (#1E2230) square tile. An outer "&amp;INDEX(Руны!$C$27:$C$30,MATCH(G47,Руны!$A$27:$A$30,0))&amp;", thick carved "&amp;INDEX(Руны!$F$2:$F$10,MATCH(E47,Руны!$A$2:$A$10,0))&amp;" stroke"&amp;INDEX(Руны!$G$2:$G$10,MATCH(E47,Руны!$A$2:$A$10,0))&amp;" and a "&amp;INDEX(Руны!$I$2:$I$10,MATCH(E47,Руны!$A$2:$A$10,0))&amp;" around its outside. Inside: "&amp;INDEX(Руны!$C$14:$C$23,MATCH(H47,Руны!$A$14:$A$23,0))&amp;". Chiseled straight line ends, flat vector, no perspective, faint outer glow."</f>
        <v/>
      </c>
      <c r="AI47" s="2" t="inlineStr">
        <is>
          <t>[Д] черновик</t>
        </is>
      </c>
    </row>
    <row r="48">
      <c r="A48" s="2" t="inlineStr">
        <is>
          <t>Второе дыхание</t>
        </is>
      </c>
      <c r="B48" s="2" t="inlineStr">
        <is>
          <t>Активный</t>
        </is>
      </c>
      <c r="C48" s="2" t="inlineStr">
        <is>
          <t>Кострище</t>
        </is>
      </c>
      <c r="D48" s="2" t="inlineStr">
        <is>
          <t>Ярило</t>
        </is>
      </c>
      <c r="E48" s="2" t="inlineStr">
        <is>
          <t>Ярь</t>
        </is>
      </c>
      <c r="F48" s="2" t="inlineStr">
        <is>
          <t>Танк</t>
        </is>
      </c>
      <c r="G48" s="2" t="inlineStr">
        <is>
          <t>чары</t>
        </is>
      </c>
      <c r="H48" s="2" t="inlineStr">
        <is>
          <t>щит</t>
        </is>
      </c>
      <c r="I48" s="2" t="inlineStr">
        <is>
          <t>D</t>
        </is>
      </c>
      <c r="J48" s="2">
        <f>INDEX(Константы!$G$18:$G$22,MATCH(I48,Константы!$A$18:$A$22,0))</f>
        <v/>
      </c>
      <c r="K48" s="2">
        <f>INDEX(Константы!$F$18:$F$22,MATCH(I48,Константы!$A$18:$A$22,0))</f>
        <v/>
      </c>
      <c r="L48" s="2">
        <f>INDEX(Константы!$C$18:$C$22,MATCH(I48,Константы!$A$18:$A$22,0))</f>
        <v/>
      </c>
      <c r="M48" s="2">
        <f>G48&amp;", "&amp;H48&amp;", "&amp;E48&amp;", "&amp;F48&amp;IF(I48="S",", Божий","")</f>
        <v/>
      </c>
      <c r="N48" s="6" t="n">
        <v>25</v>
      </c>
      <c r="O48" s="6" t="n">
        <v>20</v>
      </c>
      <c r="P48" s="6" t="n">
        <v>0</v>
      </c>
      <c r="Q48" s="6" t="n">
        <v>1</v>
      </c>
      <c r="R48" s="6" t="inlineStr">
        <is>
          <t>фикс</t>
        </is>
      </c>
      <c r="S48" s="6" t="n">
        <v>0</v>
      </c>
      <c r="T48" s="6" t="n">
        <v>0</v>
      </c>
      <c r="U48" s="6" t="n">
        <v>0</v>
      </c>
      <c r="V48" s="6" t="n">
        <v>4</v>
      </c>
      <c r="W48" s="6" t="n">
        <v>0</v>
      </c>
      <c r="X48" s="2">
        <f>Q48*IF(R48="оружие ближнее",P48*Константы!$B$3,IF(R48="оружие дальнее",P48*Константы!$B$4,P48))</f>
        <v/>
      </c>
      <c r="Y48" s="15">
        <f>INDEX(Константы!$D$18:$D$22,MATCH(I48,Константы!$A$18:$A$22,0))</f>
        <v/>
      </c>
      <c r="Z48" s="16">
        <f>X48*(1+Y48)</f>
        <v/>
      </c>
      <c r="AA48" s="16">
        <f>N48*(1-INDEX(Константы!$E$18:$E$22,MATCH(I48,Константы!$A$18:$A$22,0)))</f>
        <v/>
      </c>
      <c r="AB48" s="14">
        <f>IF(AA48&gt;0,Z48/AA48,0)</f>
        <v/>
      </c>
      <c r="AC48" s="16">
        <f>IF(O48&gt;0,Z48/O48,0)</f>
        <v/>
      </c>
      <c r="AD48" s="14">
        <f>IF(AA48&gt;0,AB48/Константы!$B$14,0)</f>
        <v/>
      </c>
      <c r="AE48" s="2">
        <f>IF(Z48=0,"без урона",IF(AD48&gt;Константы!$B$12,"перегиб",IF(AND(AA48&gt;0,AD48&lt;Константы!$B$13),"слабый","норма")))</f>
        <v/>
      </c>
      <c r="AF48" s="2" t="inlineStr">
        <is>
          <t>Если здоровье ниже 30%: щит 30% здоровья на 4 с. Выше — только 10%.</t>
        </is>
      </c>
      <c r="AG48" s="2" t="inlineStr">
        <is>
          <t>Герой на колене, вокруг вспыхивает кольцо жара.</t>
        </is>
      </c>
      <c r="AH48" s="2">
        <f>"Flat game UI rune icon, 256x256, centered on a dark slate (#1E2230) square tile. An outer "&amp;INDEX(Руны!$C$27:$C$30,MATCH(G48,Руны!$A$27:$A$30,0))&amp;", thick carved "&amp;INDEX(Руны!$F$2:$F$10,MATCH(E48,Руны!$A$2:$A$10,0))&amp;" stroke"&amp;INDEX(Руны!$G$2:$G$10,MATCH(E48,Руны!$A$2:$A$10,0))&amp;" and a "&amp;INDEX(Руны!$I$2:$I$10,MATCH(E48,Руны!$A$2:$A$10,0))&amp;" around its outside. Inside: "&amp;INDEX(Руны!$C$14:$C$23,MATCH(H48,Руны!$A$14:$A$23,0))&amp;". Chiseled straight line ends, flat vector, no perspective, faint outer glow."</f>
        <v/>
      </c>
      <c r="AI48" s="2" t="inlineStr">
        <is>
          <t>[Д] черновик</t>
        </is>
      </c>
    </row>
    <row r="49">
      <c r="A49" s="2" t="inlineStr">
        <is>
          <t>Горсть золы</t>
        </is>
      </c>
      <c r="B49" s="2" t="inlineStr">
        <is>
          <t>Активный</t>
        </is>
      </c>
      <c r="C49" s="2" t="inlineStr">
        <is>
          <t>Кострище</t>
        </is>
      </c>
      <c r="D49" s="2" t="inlineStr">
        <is>
          <t>Ярило</t>
        </is>
      </c>
      <c r="E49" s="2" t="inlineStr">
        <is>
          <t>Ярь</t>
        </is>
      </c>
      <c r="F49" s="2" t="inlineStr">
        <is>
          <t>Танк</t>
        </is>
      </c>
      <c r="G49" s="2" t="inlineStr">
        <is>
          <t>чары</t>
        </is>
      </c>
      <c r="H49" s="2" t="inlineStr">
        <is>
          <t>щит</t>
        </is>
      </c>
      <c r="I49" s="2" t="inlineStr">
        <is>
          <t>A</t>
        </is>
      </c>
      <c r="J49" s="2">
        <f>INDEX(Константы!$G$18:$G$22,MATCH(I49,Константы!$A$18:$A$22,0))</f>
        <v/>
      </c>
      <c r="K49" s="2">
        <f>INDEX(Константы!$F$18:$F$22,MATCH(I49,Константы!$A$18:$A$22,0))</f>
        <v/>
      </c>
      <c r="L49" s="2">
        <f>INDEX(Константы!$C$18:$C$22,MATCH(I49,Константы!$A$18:$A$22,0))</f>
        <v/>
      </c>
      <c r="M49" s="2">
        <f>G49&amp;", "&amp;H49&amp;", "&amp;E49&amp;", "&amp;F49&amp;IF(I49="S",", Божий","")</f>
        <v/>
      </c>
      <c r="N49" s="6" t="n">
        <v>30</v>
      </c>
      <c r="O49" s="6" t="n">
        <v>22</v>
      </c>
      <c r="P49" s="6" t="n">
        <v>15</v>
      </c>
      <c r="Q49" s="6" t="n">
        <v>1</v>
      </c>
      <c r="R49" s="6" t="inlineStr">
        <is>
          <t>фикс</t>
        </is>
      </c>
      <c r="S49" s="6" t="n">
        <v>3</v>
      </c>
      <c r="T49" s="6" t="n">
        <v>0</v>
      </c>
      <c r="U49" s="6" t="n">
        <v>0</v>
      </c>
      <c r="V49" s="6" t="n">
        <v>6</v>
      </c>
      <c r="W49" s="6" t="n">
        <v>0</v>
      </c>
      <c r="X49" s="2">
        <f>Q49*IF(R49="оружие ближнее",P49*Константы!$B$3,IF(R49="оружие дальнее",P49*Константы!$B$4,P49))</f>
        <v/>
      </c>
      <c r="Y49" s="15">
        <f>INDEX(Константы!$D$18:$D$22,MATCH(I49,Константы!$A$18:$A$22,0))</f>
        <v/>
      </c>
      <c r="Z49" s="16">
        <f>X49*(1+Y49)</f>
        <v/>
      </c>
      <c r="AA49" s="16">
        <f>N49*(1-INDEX(Константы!$E$18:$E$22,MATCH(I49,Константы!$A$18:$A$22,0)))</f>
        <v/>
      </c>
      <c r="AB49" s="14">
        <f>IF(AA49&gt;0,Z49/AA49,0)</f>
        <v/>
      </c>
      <c r="AC49" s="16">
        <f>IF(O49&gt;0,Z49/O49,0)</f>
        <v/>
      </c>
      <c r="AD49" s="14">
        <f>IF(AA49&gt;0,AB49/Константы!$B$14,0)</f>
        <v/>
      </c>
      <c r="AE49" s="2">
        <f>IF(Z49=0,"без урона",IF(AD49&gt;Константы!$B$12,"перегиб",IF(AND(AA49&gt;0,AD49&lt;Константы!$B$13),"слабый","норма")))</f>
        <v/>
      </c>
      <c r="AF49" s="2" t="inlineStr">
        <is>
          <t>Поджигает себя на 6 с: −40% получаемого урона, враги рядом горят.</t>
        </is>
      </c>
      <c r="AG49" s="2" t="inlineStr">
        <is>
          <t>Героя окутывает тлеющая зола, сквозь неё красный свет.</t>
        </is>
      </c>
      <c r="AH49" s="2">
        <f>"Flat game UI rune icon, 256x256, centered on a dark slate (#1E2230) square tile. An outer "&amp;INDEX(Руны!$C$27:$C$30,MATCH(G49,Руны!$A$27:$A$30,0))&amp;", thick carved "&amp;INDEX(Руны!$F$2:$F$10,MATCH(E49,Руны!$A$2:$A$10,0))&amp;" stroke"&amp;INDEX(Руны!$G$2:$G$10,MATCH(E49,Руны!$A$2:$A$10,0))&amp;" and a "&amp;INDEX(Руны!$I$2:$I$10,MATCH(E49,Руны!$A$2:$A$10,0))&amp;" around its outside. Inside: "&amp;INDEX(Руны!$C$14:$C$23,MATCH(H49,Руны!$A$14:$A$23,0))&amp;". Chiseled straight line ends, flat vector, no perspective, faint outer glow."</f>
        <v/>
      </c>
      <c r="AI49" s="2" t="inlineStr">
        <is>
          <t>[Д] черновик</t>
        </is>
      </c>
    </row>
    <row r="50">
      <c r="A50" s="2" t="inlineStr">
        <is>
          <t>Зерно в золе</t>
        </is>
      </c>
      <c r="B50" s="2" t="inlineStr">
        <is>
          <t>Активный</t>
        </is>
      </c>
      <c r="C50" s="2" t="inlineStr">
        <is>
          <t>Кострище</t>
        </is>
      </c>
      <c r="D50" s="2" t="inlineStr">
        <is>
          <t>Ярило</t>
        </is>
      </c>
      <c r="E50" s="2" t="inlineStr">
        <is>
          <t>Ярь</t>
        </is>
      </c>
      <c r="F50" s="2" t="inlineStr">
        <is>
          <t>Хил</t>
        </is>
      </c>
      <c r="G50" s="2" t="inlineStr">
        <is>
          <t>чары</t>
        </is>
      </c>
      <c r="H50" s="2" t="inlineStr">
        <is>
          <t>лечение</t>
        </is>
      </c>
      <c r="I50" s="2" t="inlineStr">
        <is>
          <t>D</t>
        </is>
      </c>
      <c r="J50" s="2">
        <f>INDEX(Константы!$G$18:$G$22,MATCH(I50,Константы!$A$18:$A$22,0))</f>
        <v/>
      </c>
      <c r="K50" s="2">
        <f>INDEX(Константы!$F$18:$F$22,MATCH(I50,Константы!$A$18:$A$22,0))</f>
        <v/>
      </c>
      <c r="L50" s="2">
        <f>INDEX(Константы!$C$18:$C$22,MATCH(I50,Константы!$A$18:$A$22,0))</f>
        <v/>
      </c>
      <c r="M50" s="2">
        <f>G50&amp;", "&amp;H50&amp;", "&amp;E50&amp;", "&amp;F50&amp;IF(I50="S",", Божий","")</f>
        <v/>
      </c>
      <c r="N50" s="6" t="n">
        <v>20</v>
      </c>
      <c r="O50" s="6" t="n">
        <v>12</v>
      </c>
      <c r="P50" s="6" t="n">
        <v>0</v>
      </c>
      <c r="Q50" s="6" t="n">
        <v>1</v>
      </c>
      <c r="R50" s="6" t="inlineStr">
        <is>
          <t>фикс</t>
        </is>
      </c>
      <c r="S50" s="6" t="n">
        <v>3</v>
      </c>
      <c r="T50" s="6" t="n">
        <v>10</v>
      </c>
      <c r="U50" s="6" t="n">
        <v>3</v>
      </c>
      <c r="V50" s="6" t="n">
        <v>0</v>
      </c>
      <c r="W50" s="6" t="n">
        <v>0</v>
      </c>
      <c r="X50" s="2">
        <f>Q50*IF(R50="оружие ближнее",P50*Константы!$B$3,IF(R50="оружие дальнее",P50*Константы!$B$4,P50))</f>
        <v/>
      </c>
      <c r="Y50" s="15">
        <f>INDEX(Константы!$D$18:$D$22,MATCH(I50,Константы!$A$18:$A$22,0))</f>
        <v/>
      </c>
      <c r="Z50" s="16">
        <f>X50*(1+Y50)</f>
        <v/>
      </c>
      <c r="AA50" s="16">
        <f>N50*(1-INDEX(Константы!$E$18:$E$22,MATCH(I50,Константы!$A$18:$A$22,0)))</f>
        <v/>
      </c>
      <c r="AB50" s="14">
        <f>IF(AA50&gt;0,Z50/AA50,0)</f>
        <v/>
      </c>
      <c r="AC50" s="16">
        <f>IF(O50&gt;0,Z50/O50,0)</f>
        <v/>
      </c>
      <c r="AD50" s="14">
        <f>IF(AA50&gt;0,AB50/Константы!$B$14,0)</f>
        <v/>
      </c>
      <c r="AE50" s="2">
        <f>IF(Z50=0,"без урона",IF(AD50&gt;Константы!$B$12,"перегиб",IF(AND(AA50&gt;0,AD50&lt;Константы!$B$13),"слабый","норма")))</f>
        <v/>
      </c>
      <c r="AF50" s="2" t="inlineStr">
        <is>
          <t>Сеет зерно; через 3 с росток лечит 25% тому, кто стоит рядом.</t>
        </is>
      </c>
      <c r="AG50" s="2" t="inlineStr">
        <is>
          <t>Зерно в серой золе, из него пробивается росток.</t>
        </is>
      </c>
      <c r="AH50" s="2">
        <f>"Flat game UI rune icon, 256x256, centered on a dark slate (#1E2230) square tile. An outer "&amp;INDEX(Руны!$C$27:$C$30,MATCH(G50,Руны!$A$27:$A$30,0))&amp;", thick carved "&amp;INDEX(Руны!$F$2:$F$10,MATCH(E50,Руны!$A$2:$A$10,0))&amp;" stroke"&amp;INDEX(Руны!$G$2:$G$10,MATCH(E50,Руны!$A$2:$A$10,0))&amp;" and a "&amp;INDEX(Руны!$I$2:$I$10,MATCH(E50,Руны!$A$2:$A$10,0))&amp;" around its outside. Inside: "&amp;INDEX(Руны!$C$14:$C$23,MATCH(H50,Руны!$A$14:$A$23,0))&amp;". Chiseled straight line ends, flat vector, no perspective, faint outer glow."</f>
        <v/>
      </c>
      <c r="AI50" s="2" t="inlineStr">
        <is>
          <t>[Д] черновик</t>
        </is>
      </c>
    </row>
    <row r="51">
      <c r="A51" s="2" t="inlineStr">
        <is>
          <t>Дождаться</t>
        </is>
      </c>
      <c r="B51" s="2" t="inlineStr">
        <is>
          <t>Активный</t>
        </is>
      </c>
      <c r="C51" s="2" t="inlineStr">
        <is>
          <t>Кострище</t>
        </is>
      </c>
      <c r="D51" s="2" t="inlineStr">
        <is>
          <t>Ярило</t>
        </is>
      </c>
      <c r="E51" s="2" t="inlineStr">
        <is>
          <t>Ярь</t>
        </is>
      </c>
      <c r="F51" s="2" t="inlineStr">
        <is>
          <t>Хил</t>
        </is>
      </c>
      <c r="G51" s="2" t="inlineStr">
        <is>
          <t>чары</t>
        </is>
      </c>
      <c r="H51" s="2" t="inlineStr">
        <is>
          <t>лечение</t>
        </is>
      </c>
      <c r="I51" s="2" t="inlineStr">
        <is>
          <t>S</t>
        </is>
      </c>
      <c r="J51" s="2">
        <f>INDEX(Константы!$G$18:$G$22,MATCH(I51,Константы!$A$18:$A$22,0))</f>
        <v/>
      </c>
      <c r="K51" s="2">
        <f>INDEX(Константы!$F$18:$F$22,MATCH(I51,Константы!$A$18:$A$22,0))</f>
        <v/>
      </c>
      <c r="L51" s="2">
        <f>INDEX(Константы!$C$18:$C$22,MATCH(I51,Константы!$A$18:$A$22,0))</f>
        <v/>
      </c>
      <c r="M51" s="2">
        <f>G51&amp;", "&amp;H51&amp;", "&amp;E51&amp;", "&amp;F51&amp;IF(I51="S",", Божий","")</f>
        <v/>
      </c>
      <c r="N51" s="6" t="n">
        <v>0</v>
      </c>
      <c r="O51" s="6" t="n">
        <v>120</v>
      </c>
      <c r="P51" s="6" t="n">
        <v>0</v>
      </c>
      <c r="Q51" s="6" t="n">
        <v>1</v>
      </c>
      <c r="R51" s="6" t="inlineStr">
        <is>
          <t>фикс</t>
        </is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2">
        <f>Q51*IF(R51="оружие ближнее",P51*Константы!$B$3,IF(R51="оружие дальнее",P51*Константы!$B$4,P51))</f>
        <v/>
      </c>
      <c r="Y51" s="15">
        <f>INDEX(Константы!$D$18:$D$22,MATCH(I51,Константы!$A$18:$A$22,0))</f>
        <v/>
      </c>
      <c r="Z51" s="16">
        <f>X51*(1+Y51)</f>
        <v/>
      </c>
      <c r="AA51" s="16">
        <f>N51*(1-INDEX(Константы!$E$18:$E$22,MATCH(I51,Константы!$A$18:$A$22,0)))</f>
        <v/>
      </c>
      <c r="AB51" s="14">
        <f>IF(AA51&gt;0,Z51/AA51,0)</f>
        <v/>
      </c>
      <c r="AC51" s="16">
        <f>IF(O51&gt;0,Z51/O51,0)</f>
        <v/>
      </c>
      <c r="AD51" s="14">
        <f>IF(AA51&gt;0,AB51/Константы!$B$14,0)</f>
        <v/>
      </c>
      <c r="AE51" s="2">
        <f>IF(Z51=0,"без урона",IF(AD51&gt;Константы!$B$12,"перегиб",IF(AND(AA51&gt;0,AD51&lt;Константы!$B$13),"слабый","норма")))</f>
        <v/>
      </c>
      <c r="AF51" s="2" t="inlineStr">
        <is>
          <t>Пассивно, раз в 120 с: смертельный удар оставляет 30% здоровья и встаёшь из золы.</t>
        </is>
      </c>
      <c r="AG51" s="2" t="inlineStr">
        <is>
          <t>Фигура поднимается из кучи золы, в руке зерно.</t>
        </is>
      </c>
      <c r="AH51" s="2">
        <f>"Flat game UI rune icon, 256x256, centered on a dark slate (#1E2230) square tile. An outer "&amp;INDEX(Руны!$C$27:$C$30,MATCH(G51,Руны!$A$27:$A$30,0))&amp;", thick carved "&amp;INDEX(Руны!$F$2:$F$10,MATCH(E51,Руны!$A$2:$A$10,0))&amp;" stroke"&amp;INDEX(Руны!$G$2:$G$10,MATCH(E51,Руны!$A$2:$A$10,0))&amp;" and a "&amp;INDEX(Руны!$I$2:$I$10,MATCH(E51,Руны!$A$2:$A$10,0))&amp;" around its outside. Inside: "&amp;INDEX(Руны!$C$14:$C$23,MATCH(H51,Руны!$A$14:$A$23,0))&amp;". Chiseled straight line ends, flat vector, no perspective, faint outer glow."</f>
        <v/>
      </c>
      <c r="AI51" s="2" t="inlineStr">
        <is>
          <t>[Д] черновик</t>
        </is>
      </c>
    </row>
    <row r="52">
      <c r="A52" s="2" t="inlineStr">
        <is>
          <t>Чучело</t>
        </is>
      </c>
      <c r="B52" s="2" t="inlineStr">
        <is>
          <t>Активный</t>
        </is>
      </c>
      <c r="C52" s="2" t="inlineStr">
        <is>
          <t>Кострище</t>
        </is>
      </c>
      <c r="D52" s="2" t="inlineStr">
        <is>
          <t>Ярило</t>
        </is>
      </c>
      <c r="E52" s="2" t="inlineStr">
        <is>
          <t>Ярь</t>
        </is>
      </c>
      <c r="F52" s="2" t="inlineStr">
        <is>
          <t>Призыв</t>
        </is>
      </c>
      <c r="G52" s="2" t="inlineStr">
        <is>
          <t>чары</t>
        </is>
      </c>
      <c r="H52" s="2" t="inlineStr">
        <is>
          <t>призыв</t>
        </is>
      </c>
      <c r="I52" s="2" t="inlineStr">
        <is>
          <t>C</t>
        </is>
      </c>
      <c r="J52" s="2">
        <f>INDEX(Константы!$G$18:$G$22,MATCH(I52,Константы!$A$18:$A$22,0))</f>
        <v/>
      </c>
      <c r="K52" s="2">
        <f>INDEX(Константы!$F$18:$F$22,MATCH(I52,Константы!$A$18:$A$22,0))</f>
        <v/>
      </c>
      <c r="L52" s="2">
        <f>INDEX(Константы!$C$18:$C$22,MATCH(I52,Константы!$A$18:$A$22,0))</f>
        <v/>
      </c>
      <c r="M52" s="2">
        <f>G52&amp;", "&amp;H52&amp;", "&amp;E52&amp;", "&amp;F52&amp;IF(I52="S",", Божий","")</f>
        <v/>
      </c>
      <c r="N52" s="6" t="n">
        <v>30</v>
      </c>
      <c r="O52" s="6" t="n">
        <v>20</v>
      </c>
      <c r="P52" s="6" t="n">
        <v>70</v>
      </c>
      <c r="Q52" s="6" t="n">
        <v>1</v>
      </c>
      <c r="R52" s="6" t="inlineStr">
        <is>
          <t>фикс</t>
        </is>
      </c>
      <c r="S52" s="6" t="n">
        <v>4</v>
      </c>
      <c r="T52" s="6" t="n">
        <v>10</v>
      </c>
      <c r="U52" s="6" t="n">
        <v>0</v>
      </c>
      <c r="V52" s="6" t="n">
        <v>10</v>
      </c>
      <c r="W52" s="6" t="n">
        <v>0</v>
      </c>
      <c r="X52" s="2">
        <f>Q52*IF(R52="оружие ближнее",P52*Константы!$B$3,IF(R52="оружие дальнее",P52*Константы!$B$4,P52))</f>
        <v/>
      </c>
      <c r="Y52" s="15">
        <f>INDEX(Константы!$D$18:$D$22,MATCH(I52,Константы!$A$18:$A$22,0))</f>
        <v/>
      </c>
      <c r="Z52" s="16">
        <f>X52*(1+Y52)</f>
        <v/>
      </c>
      <c r="AA52" s="16">
        <f>N52*(1-INDEX(Константы!$E$18:$E$22,MATCH(I52,Константы!$A$18:$A$22,0)))</f>
        <v/>
      </c>
      <c r="AB52" s="14">
        <f>IF(AA52&gt;0,Z52/AA52,0)</f>
        <v/>
      </c>
      <c r="AC52" s="16">
        <f>IF(O52&gt;0,Z52/O52,0)</f>
        <v/>
      </c>
      <c r="AD52" s="14">
        <f>IF(AA52&gt;0,AB52/Константы!$B$14,0)</f>
        <v/>
      </c>
      <c r="AE52" s="2">
        <f>IF(Z52=0,"без урона",IF(AD52&gt;Константы!$B$12,"перегиб",IF(AND(AA52&gt;0,AD52&lt;Константы!$B$13),"слабый","норма")))</f>
        <v/>
      </c>
      <c r="AF52" s="2" t="inlineStr">
        <is>
          <t>Ставит соломенное чучело; при гибели или через 10 с сгорает со взрывом.</t>
        </is>
      </c>
      <c r="AG52" s="2" t="inlineStr">
        <is>
          <t>Соломенное чучело с лентами, в основании уже огонь.</t>
        </is>
      </c>
      <c r="AH52" s="2">
        <f>"Flat game UI rune icon, 256x256, centered on a dark slate (#1E2230) square tile. An outer "&amp;INDEX(Руны!$C$27:$C$30,MATCH(G52,Руны!$A$27:$A$30,0))&amp;", thick carved "&amp;INDEX(Руны!$F$2:$F$10,MATCH(E52,Руны!$A$2:$A$10,0))&amp;" stroke"&amp;INDEX(Руны!$G$2:$G$10,MATCH(E52,Руны!$A$2:$A$10,0))&amp;" and a "&amp;INDEX(Руны!$I$2:$I$10,MATCH(E52,Руны!$A$2:$A$10,0))&amp;" around its outside. Inside: "&amp;INDEX(Руны!$C$14:$C$23,MATCH(H52,Руны!$A$14:$A$23,0))&amp;". Chiseled straight line ends, flat vector, no perspective, faint outer glow."</f>
        <v/>
      </c>
      <c r="AI52" s="2" t="inlineStr">
        <is>
          <t>[Д] черновик</t>
        </is>
      </c>
    </row>
    <row r="53">
      <c r="A53" s="2" t="inlineStr">
        <is>
          <t>Ряженые</t>
        </is>
      </c>
      <c r="B53" s="2" t="inlineStr">
        <is>
          <t>Активный</t>
        </is>
      </c>
      <c r="C53" s="2" t="inlineStr">
        <is>
          <t>Кострище</t>
        </is>
      </c>
      <c r="D53" s="2" t="inlineStr">
        <is>
          <t>Ярило</t>
        </is>
      </c>
      <c r="E53" s="2" t="inlineStr">
        <is>
          <t>Ярь</t>
        </is>
      </c>
      <c r="F53" s="2" t="inlineStr">
        <is>
          <t>Призыв</t>
        </is>
      </c>
      <c r="G53" s="2" t="inlineStr">
        <is>
          <t>чары</t>
        </is>
      </c>
      <c r="H53" s="2" t="inlineStr">
        <is>
          <t>призыв</t>
        </is>
      </c>
      <c r="I53" s="2" t="inlineStr">
        <is>
          <t>C</t>
        </is>
      </c>
      <c r="J53" s="2">
        <f>INDEX(Константы!$G$18:$G$22,MATCH(I53,Константы!$A$18:$A$22,0))</f>
        <v/>
      </c>
      <c r="K53" s="2">
        <f>INDEX(Константы!$F$18:$F$22,MATCH(I53,Константы!$A$18:$A$22,0))</f>
        <v/>
      </c>
      <c r="L53" s="2">
        <f>INDEX(Константы!$C$18:$C$22,MATCH(I53,Константы!$A$18:$A$22,0))</f>
        <v/>
      </c>
      <c r="M53" s="2">
        <f>G53&amp;", "&amp;H53&amp;", "&amp;E53&amp;", "&amp;F53&amp;IF(I53="S",", Божий","")</f>
        <v/>
      </c>
      <c r="N53" s="6" t="n">
        <v>30</v>
      </c>
      <c r="O53" s="6" t="n">
        <v>24</v>
      </c>
      <c r="P53" s="6" t="n">
        <v>10</v>
      </c>
      <c r="Q53" s="6" t="n">
        <v>12</v>
      </c>
      <c r="R53" s="6" t="inlineStr">
        <is>
          <t>фикс</t>
        </is>
      </c>
      <c r="S53" s="6" t="n">
        <v>0</v>
      </c>
      <c r="T53" s="6" t="n">
        <v>0</v>
      </c>
      <c r="U53" s="6" t="n">
        <v>0</v>
      </c>
      <c r="V53" s="6" t="n">
        <v>12</v>
      </c>
      <c r="W53" s="6" t="n">
        <v>0</v>
      </c>
      <c r="X53" s="2">
        <f>Q53*IF(R53="оружие ближнее",P53*Константы!$B$3,IF(R53="оружие дальнее",P53*Константы!$B$4,P53))</f>
        <v/>
      </c>
      <c r="Y53" s="15">
        <f>INDEX(Константы!$D$18:$D$22,MATCH(I53,Константы!$A$18:$A$22,0))</f>
        <v/>
      </c>
      <c r="Z53" s="16">
        <f>X53*(1+Y53)</f>
        <v/>
      </c>
      <c r="AA53" s="16">
        <f>N53*(1-INDEX(Константы!$E$18:$E$22,MATCH(I53,Константы!$A$18:$A$22,0)))</f>
        <v/>
      </c>
      <c r="AB53" s="14">
        <f>IF(AA53&gt;0,Z53/AA53,0)</f>
        <v/>
      </c>
      <c r="AC53" s="16">
        <f>IF(O53&gt;0,Z53/O53,0)</f>
        <v/>
      </c>
      <c r="AD53" s="14">
        <f>IF(AA53&gt;0,AB53/Константы!$B$14,0)</f>
        <v/>
      </c>
      <c r="AE53" s="2">
        <f>IF(Z53=0,"без урона",IF(AD53&gt;Константы!$B$12,"перегиб",IF(AND(AA53&gt;0,AD53&lt;Константы!$B$13),"слабый","норма")))</f>
        <v/>
      </c>
      <c r="AF53" s="2" t="inlineStr">
        <is>
          <t>Двое ряженых на 12 с пляшут и отвлекают врагов.</t>
        </is>
      </c>
      <c r="AG53" s="2" t="inlineStr">
        <is>
          <t>Две фигуры в масках из бересты пляшут у костра.</t>
        </is>
      </c>
      <c r="AH53" s="2">
        <f>"Flat game UI rune icon, 256x256, centered on a dark slate (#1E2230) square tile. An outer "&amp;INDEX(Руны!$C$27:$C$30,MATCH(G53,Руны!$A$27:$A$30,0))&amp;", thick carved "&amp;INDEX(Руны!$F$2:$F$10,MATCH(E53,Руны!$A$2:$A$10,0))&amp;" stroke"&amp;INDEX(Руны!$G$2:$G$10,MATCH(E53,Руны!$A$2:$A$10,0))&amp;" and a "&amp;INDEX(Руны!$I$2:$I$10,MATCH(E53,Руны!$A$2:$A$10,0))&amp;" around its outside. Inside: "&amp;INDEX(Руны!$C$14:$C$23,MATCH(H53,Руны!$A$14:$A$23,0))&amp;". Chiseled straight line ends, flat vector, no perspective, faint outer glow."</f>
        <v/>
      </c>
      <c r="AI53" s="2" t="inlineStr">
        <is>
          <t>[Д] черновик</t>
        </is>
      </c>
    </row>
    <row r="54">
      <c r="A54" s="2" t="inlineStr">
        <is>
          <t>Плач</t>
        </is>
      </c>
      <c r="B54" s="2" t="inlineStr">
        <is>
          <t>Активный</t>
        </is>
      </c>
      <c r="C54" s="2" t="inlineStr">
        <is>
          <t>Кострище</t>
        </is>
      </c>
      <c r="D54" s="2" t="inlineStr">
        <is>
          <t>Ярило</t>
        </is>
      </c>
      <c r="E54" s="2" t="inlineStr">
        <is>
          <t>Ярь</t>
        </is>
      </c>
      <c r="F54" s="2" t="inlineStr">
        <is>
          <t>Саппорт</t>
        </is>
      </c>
      <c r="G54" s="2" t="inlineStr">
        <is>
          <t>чары</t>
        </is>
      </c>
      <c r="H54" s="2" t="inlineStr">
        <is>
          <t>дебафф</t>
        </is>
      </c>
      <c r="I54" s="2" t="inlineStr">
        <is>
          <t>D</t>
        </is>
      </c>
      <c r="J54" s="2">
        <f>INDEX(Константы!$G$18:$G$22,MATCH(I54,Константы!$A$18:$A$22,0))</f>
        <v/>
      </c>
      <c r="K54" s="2">
        <f>INDEX(Константы!$F$18:$F$22,MATCH(I54,Константы!$A$18:$A$22,0))</f>
        <v/>
      </c>
      <c r="L54" s="2">
        <f>INDEX(Константы!$C$18:$C$22,MATCH(I54,Константы!$A$18:$A$22,0))</f>
        <v/>
      </c>
      <c r="M54" s="2">
        <f>G54&amp;", "&amp;H54&amp;", "&amp;E54&amp;", "&amp;F54&amp;IF(I54="S",", Божий","")</f>
        <v/>
      </c>
      <c r="N54" s="6" t="n">
        <v>20</v>
      </c>
      <c r="O54" s="6" t="n">
        <v>14</v>
      </c>
      <c r="P54" s="6" t="n">
        <v>0</v>
      </c>
      <c r="Q54" s="6" t="n">
        <v>1</v>
      </c>
      <c r="R54" s="6" t="inlineStr">
        <is>
          <t>фикс</t>
        </is>
      </c>
      <c r="S54" s="6" t="n">
        <v>8</v>
      </c>
      <c r="T54" s="6" t="n">
        <v>0</v>
      </c>
      <c r="U54" s="6" t="n">
        <v>0</v>
      </c>
      <c r="V54" s="6" t="n">
        <v>6</v>
      </c>
      <c r="W54" s="6" t="n">
        <v>0</v>
      </c>
      <c r="X54" s="2">
        <f>Q54*IF(R54="оружие ближнее",P54*Константы!$B$3,IF(R54="оружие дальнее",P54*Константы!$B$4,P54))</f>
        <v/>
      </c>
      <c r="Y54" s="15">
        <f>INDEX(Константы!$D$18:$D$22,MATCH(I54,Константы!$A$18:$A$22,0))</f>
        <v/>
      </c>
      <c r="Z54" s="16">
        <f>X54*(1+Y54)</f>
        <v/>
      </c>
      <c r="AA54" s="16">
        <f>N54*(1-INDEX(Константы!$E$18:$E$22,MATCH(I54,Константы!$A$18:$A$22,0)))</f>
        <v/>
      </c>
      <c r="AB54" s="14">
        <f>IF(AA54&gt;0,Z54/AA54,0)</f>
        <v/>
      </c>
      <c r="AC54" s="16">
        <f>IF(O54&gt;0,Z54/O54,0)</f>
        <v/>
      </c>
      <c r="AD54" s="14">
        <f>IF(AA54&gt;0,AB54/Константы!$B$14,0)</f>
        <v/>
      </c>
      <c r="AE54" s="2">
        <f>IF(Z54=0,"без урона",IF(AD54&gt;Константы!$B$12,"перегиб",IF(AND(AA54&gt;0,AD54&lt;Константы!$B$13),"слабый","норма")))</f>
        <v/>
      </c>
      <c r="AF54" s="2" t="inlineStr">
        <is>
          <t>Ритм плача: враги в круге −20% урона на 6 с.</t>
        </is>
      </c>
      <c r="AG54" s="2" t="inlineStr">
        <is>
          <t>Женская тень с поднятыми руками, от неё тёмные волны.</t>
        </is>
      </c>
      <c r="AH54" s="2">
        <f>"Flat game UI rune icon, 256x256, centered on a dark slate (#1E2230) square tile. An outer "&amp;INDEX(Руны!$C$27:$C$30,MATCH(G54,Руны!$A$27:$A$30,0))&amp;", thick carved "&amp;INDEX(Руны!$F$2:$F$10,MATCH(E54,Руны!$A$2:$A$10,0))&amp;" stroke"&amp;INDEX(Руны!$G$2:$G$10,MATCH(E54,Руны!$A$2:$A$10,0))&amp;" and a "&amp;INDEX(Руны!$I$2:$I$10,MATCH(E54,Руны!$A$2:$A$10,0))&amp;" around its outside. Inside: "&amp;INDEX(Руны!$C$14:$C$23,MATCH(H54,Руны!$A$14:$A$23,0))&amp;". Chiseled straight line ends, flat vector, no perspective, faint outer glow."</f>
        <v/>
      </c>
      <c r="AI54" s="2" t="inlineStr">
        <is>
          <t>[Д] черновик</t>
        </is>
      </c>
    </row>
    <row r="55">
      <c r="A55" s="2" t="inlineStr">
        <is>
          <t>Купальский круг</t>
        </is>
      </c>
      <c r="B55" s="2" t="inlineStr">
        <is>
          <t>Активный</t>
        </is>
      </c>
      <c r="C55" s="2" t="inlineStr">
        <is>
          <t>Кострище</t>
        </is>
      </c>
      <c r="D55" s="2" t="inlineStr">
        <is>
          <t>Ярило</t>
        </is>
      </c>
      <c r="E55" s="2" t="inlineStr">
        <is>
          <t>Ярь</t>
        </is>
      </c>
      <c r="F55" s="2" t="inlineStr">
        <is>
          <t>Саппорт</t>
        </is>
      </c>
      <c r="G55" s="2" t="inlineStr">
        <is>
          <t>чары</t>
        </is>
      </c>
      <c r="H55" s="2" t="inlineStr">
        <is>
          <t>аура</t>
        </is>
      </c>
      <c r="I55" s="2" t="inlineStr">
        <is>
          <t>B</t>
        </is>
      </c>
      <c r="J55" s="2">
        <f>INDEX(Константы!$G$18:$G$22,MATCH(I55,Константы!$A$18:$A$22,0))</f>
        <v/>
      </c>
      <c r="K55" s="2">
        <f>INDEX(Константы!$F$18:$F$22,MATCH(I55,Константы!$A$18:$A$22,0))</f>
        <v/>
      </c>
      <c r="L55" s="2">
        <f>INDEX(Константы!$C$18:$C$22,MATCH(I55,Константы!$A$18:$A$22,0))</f>
        <v/>
      </c>
      <c r="M55" s="2">
        <f>G55&amp;", "&amp;H55&amp;", "&amp;E55&amp;", "&amp;F55&amp;IF(I55="S",", Божий","")</f>
        <v/>
      </c>
      <c r="N55" s="6" t="n">
        <v>20</v>
      </c>
      <c r="O55" s="6" t="n">
        <v>20</v>
      </c>
      <c r="P55" s="6" t="n">
        <v>0</v>
      </c>
      <c r="Q55" s="6" t="n">
        <v>1</v>
      </c>
      <c r="R55" s="6" t="inlineStr">
        <is>
          <t>фикс</t>
        </is>
      </c>
      <c r="S55" s="6" t="n">
        <v>8</v>
      </c>
      <c r="T55" s="6" t="n">
        <v>0</v>
      </c>
      <c r="U55" s="6" t="n">
        <v>0</v>
      </c>
      <c r="V55" s="6" t="n">
        <v>10</v>
      </c>
      <c r="W55" s="6" t="n">
        <v>0</v>
      </c>
      <c r="X55" s="2">
        <f>Q55*IF(R55="оружие ближнее",P55*Константы!$B$3,IF(R55="оружие дальнее",P55*Константы!$B$4,P55))</f>
        <v/>
      </c>
      <c r="Y55" s="15">
        <f>INDEX(Константы!$D$18:$D$22,MATCH(I55,Константы!$A$18:$A$22,0))</f>
        <v/>
      </c>
      <c r="Z55" s="16">
        <f>X55*(1+Y55)</f>
        <v/>
      </c>
      <c r="AA55" s="16">
        <f>N55*(1-INDEX(Константы!$E$18:$E$22,MATCH(I55,Константы!$A$18:$A$22,0)))</f>
        <v/>
      </c>
      <c r="AB55" s="14">
        <f>IF(AA55&gt;0,Z55/AA55,0)</f>
        <v/>
      </c>
      <c r="AC55" s="16">
        <f>IF(O55&gt;0,Z55/O55,0)</f>
        <v/>
      </c>
      <c r="AD55" s="14">
        <f>IF(AA55&gt;0,AB55/Константы!$B$14,0)</f>
        <v/>
      </c>
      <c r="AE55" s="2">
        <f>IF(Z55=0,"без урона",IF(AD55&gt;Константы!$B$12,"перегиб",IF(AND(AA55&gt;0,AD55&lt;Константы!$B$13),"слабый","норма")))</f>
        <v/>
      </c>
      <c r="AF55" s="2" t="inlineStr">
        <is>
          <t>Аура 10 с: союзники получают +1% урона за 2% потерянного здоровья.</t>
        </is>
      </c>
      <c r="AG55" s="2" t="inlineStr">
        <is>
          <t>Хоровод огоньков вокруг костра.</t>
        </is>
      </c>
      <c r="AH55" s="2">
        <f>"Flat game UI rune icon, 256x256, centered on a dark slate (#1E2230) square tile. An outer "&amp;INDEX(Руны!$C$27:$C$30,MATCH(G55,Руны!$A$27:$A$30,0))&amp;", thick carved "&amp;INDEX(Руны!$F$2:$F$10,MATCH(E55,Руны!$A$2:$A$10,0))&amp;" stroke"&amp;INDEX(Руны!$G$2:$G$10,MATCH(E55,Руны!$A$2:$A$10,0))&amp;" and a "&amp;INDEX(Руны!$I$2:$I$10,MATCH(E55,Руны!$A$2:$A$10,0))&amp;" around its outside. Inside: "&amp;INDEX(Руны!$C$14:$C$23,MATCH(H55,Руны!$A$14:$A$23,0))&amp;". Chiseled straight line ends, flat vector, no perspective, faint outer glow."</f>
        <v/>
      </c>
      <c r="AI55" s="2" t="inlineStr">
        <is>
          <t>[Д] черновик</t>
        </is>
      </c>
    </row>
    <row r="56">
      <c r="A56" s="2" t="inlineStr">
        <is>
          <t>Прыжок через костёр</t>
        </is>
      </c>
      <c r="B56" s="2" t="inlineStr">
        <is>
          <t>Активный</t>
        </is>
      </c>
      <c r="C56" s="2" t="inlineStr">
        <is>
          <t>Кострище</t>
        </is>
      </c>
      <c r="D56" s="2" t="inlineStr">
        <is>
          <t>Ярило</t>
        </is>
      </c>
      <c r="E56" s="2" t="inlineStr">
        <is>
          <t>Ярь</t>
        </is>
      </c>
      <c r="F56" s="2" t="inlineStr">
        <is>
          <t>Мобильность</t>
        </is>
      </c>
      <c r="G56" s="2" t="inlineStr">
        <is>
          <t>чары</t>
        </is>
      </c>
      <c r="H56" s="2" t="inlineStr">
        <is>
          <t>рывок</t>
        </is>
      </c>
      <c r="I56" s="2" t="inlineStr">
        <is>
          <t>D</t>
        </is>
      </c>
      <c r="J56" s="2">
        <f>INDEX(Константы!$G$18:$G$22,MATCH(I56,Константы!$A$18:$A$22,0))</f>
        <v/>
      </c>
      <c r="K56" s="2">
        <f>INDEX(Константы!$F$18:$F$22,MATCH(I56,Константы!$A$18:$A$22,0))</f>
        <v/>
      </c>
      <c r="L56" s="2">
        <f>INDEX(Константы!$C$18:$C$22,MATCH(I56,Константы!$A$18:$A$22,0))</f>
        <v/>
      </c>
      <c r="M56" s="2">
        <f>G56&amp;", "&amp;H56&amp;", "&amp;E56&amp;", "&amp;F56&amp;IF(I56="S",", Божий","")</f>
        <v/>
      </c>
      <c r="N56" s="6" t="n">
        <v>20</v>
      </c>
      <c r="O56" s="6" t="n">
        <v>7</v>
      </c>
      <c r="P56" s="6" t="n">
        <v>20</v>
      </c>
      <c r="Q56" s="6" t="n">
        <v>1</v>
      </c>
      <c r="R56" s="6" t="inlineStr">
        <is>
          <t>фикс</t>
        </is>
      </c>
      <c r="S56" s="6" t="n">
        <v>2</v>
      </c>
      <c r="T56" s="6" t="n">
        <v>6</v>
      </c>
      <c r="U56" s="6" t="n">
        <v>0</v>
      </c>
      <c r="V56" s="6" t="n">
        <v>3</v>
      </c>
      <c r="W56" s="6" t="n">
        <v>0</v>
      </c>
      <c r="X56" s="2">
        <f>Q56*IF(R56="оружие ближнее",P56*Константы!$B$3,IF(R56="оружие дальнее",P56*Константы!$B$4,P56))</f>
        <v/>
      </c>
      <c r="Y56" s="15">
        <f>INDEX(Константы!$D$18:$D$22,MATCH(I56,Константы!$A$18:$A$22,0))</f>
        <v/>
      </c>
      <c r="Z56" s="16">
        <f>X56*(1+Y56)</f>
        <v/>
      </c>
      <c r="AA56" s="16">
        <f>N56*(1-INDEX(Константы!$E$18:$E$22,MATCH(I56,Константы!$A$18:$A$22,0)))</f>
        <v/>
      </c>
      <c r="AB56" s="14">
        <f>IF(AA56&gt;0,Z56/AA56,0)</f>
        <v/>
      </c>
      <c r="AC56" s="16">
        <f>IF(O56&gt;0,Z56/O56,0)</f>
        <v/>
      </c>
      <c r="AD56" s="14">
        <f>IF(AA56&gt;0,AB56/Константы!$B$14,0)</f>
        <v/>
      </c>
      <c r="AE56" s="2">
        <f>IF(Z56=0,"без урона",IF(AD56&gt;Константы!$B$12,"перегиб",IF(AND(AA56&gt;0,AD56&lt;Константы!$B$13),"слабый","норма")))</f>
        <v/>
      </c>
      <c r="AF56" s="2" t="inlineStr">
        <is>
          <t>Прыжок 6 м, оставляет огонь в точке старта на 3 с.</t>
        </is>
      </c>
      <c r="AG56" s="2" t="inlineStr">
        <is>
          <t>Герой в прыжке над костром, искры вихрем.</t>
        </is>
      </c>
      <c r="AH56" s="2">
        <f>"Flat game UI rune icon, 256x256, centered on a dark slate (#1E2230) square tile. An outer "&amp;INDEX(Руны!$C$27:$C$30,MATCH(G56,Руны!$A$27:$A$30,0))&amp;", thick carved "&amp;INDEX(Руны!$F$2:$F$10,MATCH(E56,Руны!$A$2:$A$10,0))&amp;" stroke"&amp;INDEX(Руны!$G$2:$G$10,MATCH(E56,Руны!$A$2:$A$10,0))&amp;" and a "&amp;INDEX(Руны!$I$2:$I$10,MATCH(E56,Руны!$A$2:$A$10,0))&amp;" around its outside. Inside: "&amp;INDEX(Руны!$C$14:$C$23,MATCH(H56,Руны!$A$14:$A$23,0))&amp;". Chiseled straight line ends, flat vector, no perspective, faint outer glow."</f>
        <v/>
      </c>
      <c r="AI56" s="2" t="inlineStr">
        <is>
          <t>[Д] черновик</t>
        </is>
      </c>
    </row>
    <row r="57">
      <c r="A57" s="2" t="inlineStr">
        <is>
          <t>Ярилин разбег</t>
        </is>
      </c>
      <c r="B57" s="2" t="inlineStr">
        <is>
          <t>Активный</t>
        </is>
      </c>
      <c r="C57" s="2" t="inlineStr">
        <is>
          <t>Кострище</t>
        </is>
      </c>
      <c r="D57" s="2" t="inlineStr">
        <is>
          <t>Ярило</t>
        </is>
      </c>
      <c r="E57" s="2" t="inlineStr">
        <is>
          <t>Ярь</t>
        </is>
      </c>
      <c r="F57" s="2" t="inlineStr">
        <is>
          <t>Мобильность</t>
        </is>
      </c>
      <c r="G57" s="2" t="inlineStr">
        <is>
          <t>удар</t>
        </is>
      </c>
      <c r="H57" s="2" t="inlineStr">
        <is>
          <t>рывок</t>
        </is>
      </c>
      <c r="I57" s="2" t="inlineStr">
        <is>
          <t>S</t>
        </is>
      </c>
      <c r="J57" s="2">
        <f>INDEX(Константы!$G$18:$G$22,MATCH(I57,Константы!$A$18:$A$22,0))</f>
        <v/>
      </c>
      <c r="K57" s="2">
        <f>INDEX(Константы!$F$18:$F$22,MATCH(I57,Константы!$A$18:$A$22,0))</f>
        <v/>
      </c>
      <c r="L57" s="2">
        <f>INDEX(Константы!$C$18:$C$22,MATCH(I57,Константы!$A$18:$A$22,0))</f>
        <v/>
      </c>
      <c r="M57" s="2">
        <f>G57&amp;", "&amp;H57&amp;", "&amp;E57&amp;", "&amp;F57&amp;IF(I57="S",", Божий","")</f>
        <v/>
      </c>
      <c r="N57" s="6" t="n">
        <v>30</v>
      </c>
      <c r="O57" s="6" t="n">
        <v>14</v>
      </c>
      <c r="P57" s="6" t="n">
        <v>2.4</v>
      </c>
      <c r="Q57" s="6" t="n">
        <v>1</v>
      </c>
      <c r="R57" s="6" t="inlineStr">
        <is>
          <t>оружие ближнее</t>
        </is>
      </c>
      <c r="S57" s="6" t="n">
        <v>3</v>
      </c>
      <c r="T57" s="6" t="n">
        <v>12</v>
      </c>
      <c r="U57" s="6" t="n">
        <v>0</v>
      </c>
      <c r="V57" s="6" t="n">
        <v>0</v>
      </c>
      <c r="W57" s="6" t="n">
        <v>0.4</v>
      </c>
      <c r="X57" s="2">
        <f>Q57*IF(R57="оружие ближнее",P57*Константы!$B$3,IF(R57="оружие дальнее",P57*Константы!$B$4,P57))</f>
        <v/>
      </c>
      <c r="Y57" s="15">
        <f>INDEX(Константы!$D$18:$D$22,MATCH(I57,Константы!$A$18:$A$22,0))</f>
        <v/>
      </c>
      <c r="Z57" s="16">
        <f>X57*(1+Y57)</f>
        <v/>
      </c>
      <c r="AA57" s="16">
        <f>N57*(1-INDEX(Константы!$E$18:$E$22,MATCH(I57,Константы!$A$18:$A$22,0)))</f>
        <v/>
      </c>
      <c r="AB57" s="14">
        <f>IF(AA57&gt;0,Z57/AA57,0)</f>
        <v/>
      </c>
      <c r="AC57" s="16">
        <f>IF(O57&gt;0,Z57/O57,0)</f>
        <v/>
      </c>
      <c r="AD57" s="14">
        <f>IF(AA57&gt;0,AB57/Константы!$B$14,0)</f>
        <v/>
      </c>
      <c r="AE57" s="2">
        <f>IF(Z57=0,"без урона",IF(AD57&gt;Константы!$B$12,"перегиб",IF(AND(AA57&gt;0,AD57&lt;Константы!$B$13),"слабый","норма")))</f>
        <v/>
      </c>
      <c r="AF57" s="2" t="inlineStr">
        <is>
          <t>Разбег 12 м сквозь врагов; чем ниже здоровье, тем дальше и сильнее.</t>
        </is>
      </c>
      <c r="AG57" s="2" t="inlineStr">
        <is>
          <t>Белый конь-тень скачет рядом с героем сквозь пламя.</t>
        </is>
      </c>
      <c r="AH57" s="2">
        <f>"Flat game UI rune icon, 256x256, centered on a dark slate (#1E2230) square tile. An outer "&amp;INDEX(Руны!$C$27:$C$30,MATCH(G57,Руны!$A$27:$A$30,0))&amp;", thick carved "&amp;INDEX(Руны!$F$2:$F$10,MATCH(E57,Руны!$A$2:$A$10,0))&amp;" stroke"&amp;INDEX(Руны!$G$2:$G$10,MATCH(E57,Руны!$A$2:$A$10,0))&amp;" and a "&amp;INDEX(Руны!$I$2:$I$10,MATCH(E57,Руны!$A$2:$A$10,0))&amp;" around its outside. Inside: "&amp;INDEX(Руны!$C$14:$C$23,MATCH(H57,Руны!$A$14:$A$23,0))&amp;". Chiseled straight line ends, flat vector, no perspective, faint outer glow."</f>
        <v/>
      </c>
      <c r="AI57" s="2" t="inlineStr">
        <is>
          <t>[Д] черновик</t>
        </is>
      </c>
    </row>
    <row r="58">
      <c r="A58" s="2" t="inlineStr">
        <is>
          <t>Цеп</t>
        </is>
      </c>
      <c r="B58" s="2" t="inlineStr">
        <is>
          <t>Активный</t>
        </is>
      </c>
      <c r="C58" s="2" t="inlineStr">
        <is>
          <t>Пекло</t>
        </is>
      </c>
      <c r="D58" s="2" t="inlineStr">
        <is>
          <t>Чернобог</t>
        </is>
      </c>
      <c r="E58" s="2" t="inlineStr">
        <is>
          <t>Порча</t>
        </is>
      </c>
      <c r="F58" s="2" t="inlineStr">
        <is>
          <t>Мили-ДД</t>
        </is>
      </c>
      <c r="G58" s="2" t="inlineStr">
        <is>
          <t>удар</t>
        </is>
      </c>
      <c r="H58" s="2" t="inlineStr">
        <is>
          <t>площадь</t>
        </is>
      </c>
      <c r="I58" s="2" t="inlineStr">
        <is>
          <t>D</t>
        </is>
      </c>
      <c r="J58" s="2">
        <f>INDEX(Константы!$G$18:$G$22,MATCH(I58,Константы!$A$18:$A$22,0))</f>
        <v/>
      </c>
      <c r="K58" s="2">
        <f>INDEX(Константы!$F$18:$F$22,MATCH(I58,Константы!$A$18:$A$22,0))</f>
        <v/>
      </c>
      <c r="L58" s="2">
        <f>INDEX(Константы!$C$18:$C$22,MATCH(I58,Константы!$A$18:$A$22,0))</f>
        <v/>
      </c>
      <c r="M58" s="2">
        <f>G58&amp;", "&amp;H58&amp;", "&amp;E58&amp;", "&amp;F58&amp;IF(I58="S",", Божий","")</f>
        <v/>
      </c>
      <c r="N58" s="6" t="n">
        <v>20</v>
      </c>
      <c r="O58" s="6" t="n">
        <v>4</v>
      </c>
      <c r="P58" s="6" t="n">
        <v>1.7</v>
      </c>
      <c r="Q58" s="6" t="n">
        <v>1</v>
      </c>
      <c r="R58" s="6" t="inlineStr">
        <is>
          <t>оружие ближнее</t>
        </is>
      </c>
      <c r="S58" s="6" t="n">
        <v>3</v>
      </c>
      <c r="T58" s="6" t="n">
        <v>0</v>
      </c>
      <c r="U58" s="6" t="n">
        <v>0</v>
      </c>
      <c r="V58" s="6" t="n">
        <v>0</v>
      </c>
      <c r="W58" s="6" t="n">
        <v>0</v>
      </c>
      <c r="X58" s="2">
        <f>Q58*IF(R58="оружие ближнее",P58*Константы!$B$3,IF(R58="оружие дальнее",P58*Константы!$B$4,P58))</f>
        <v/>
      </c>
      <c r="Y58" s="15">
        <f>INDEX(Константы!$D$18:$D$22,MATCH(I58,Константы!$A$18:$A$22,0))</f>
        <v/>
      </c>
      <c r="Z58" s="16">
        <f>X58*(1+Y58)</f>
        <v/>
      </c>
      <c r="AA58" s="16">
        <f>N58*(1-INDEX(Константы!$E$18:$E$22,MATCH(I58,Константы!$A$18:$A$22,0)))</f>
        <v/>
      </c>
      <c r="AB58" s="14">
        <f>IF(AA58&gt;0,Z58/AA58,0)</f>
        <v/>
      </c>
      <c r="AC58" s="16">
        <f>IF(O58&gt;0,Z58/O58,0)</f>
        <v/>
      </c>
      <c r="AD58" s="14">
        <f>IF(AA58&gt;0,AB58/Константы!$B$14,0)</f>
        <v/>
      </c>
      <c r="AE58" s="2">
        <f>IF(Z58=0,"без урона",IF(AD58&gt;Константы!$B$12,"перегиб",IF(AND(AA58&gt;0,AD58&lt;Константы!$B$13),"слабый","норма")))</f>
        <v/>
      </c>
      <c r="AF58" s="2" t="inlineStr">
        <is>
          <t>Молотящий удар; каждый удар добавляет врагу 1 «вину».</t>
        </is>
      </c>
      <c r="AG58" s="2" t="inlineStr">
        <is>
          <t>Тяжёлый цеп, с него летит чёрная труха.</t>
        </is>
      </c>
      <c r="AH58" s="2">
        <f>"Flat game UI rune icon, 256x256, centered on a dark slate (#1E2230) square tile. An outer "&amp;INDEX(Руны!$C$27:$C$30,MATCH(G58,Руны!$A$27:$A$30,0))&amp;", thick carved "&amp;INDEX(Руны!$F$2:$F$10,MATCH(E58,Руны!$A$2:$A$10,0))&amp;" stroke"&amp;INDEX(Руны!$G$2:$G$10,MATCH(E58,Руны!$A$2:$A$10,0))&amp;" and a "&amp;INDEX(Руны!$I$2:$I$10,MATCH(E58,Руны!$A$2:$A$10,0))&amp;" around its outside. Inside: "&amp;INDEX(Руны!$C$14:$C$23,MATCH(H58,Руны!$A$14:$A$23,0))&amp;". Chiseled straight line ends, flat vector, no perspective, faint outer glow."</f>
        <v/>
      </c>
      <c r="AI58" s="2" t="inlineStr">
        <is>
          <t>[Д] черновик</t>
        </is>
      </c>
    </row>
    <row r="59">
      <c r="A59" s="2" t="inlineStr">
        <is>
          <t>Расплата</t>
        </is>
      </c>
      <c r="B59" s="2" t="inlineStr">
        <is>
          <t>Активный</t>
        </is>
      </c>
      <c r="C59" s="2" t="inlineStr">
        <is>
          <t>Пекло</t>
        </is>
      </c>
      <c r="D59" s="2" t="inlineStr">
        <is>
          <t>Чернобог</t>
        </is>
      </c>
      <c r="E59" s="2" t="inlineStr">
        <is>
          <t>Порча</t>
        </is>
      </c>
      <c r="F59" s="2" t="inlineStr">
        <is>
          <t>Мили-ДД</t>
        </is>
      </c>
      <c r="G59" s="2" t="inlineStr">
        <is>
          <t>удар</t>
        </is>
      </c>
      <c r="H59" s="2" t="inlineStr">
        <is>
          <t>площадь</t>
        </is>
      </c>
      <c r="I59" s="2" t="inlineStr">
        <is>
          <t>B</t>
        </is>
      </c>
      <c r="J59" s="2">
        <f>INDEX(Константы!$G$18:$G$22,MATCH(I59,Константы!$A$18:$A$22,0))</f>
        <v/>
      </c>
      <c r="K59" s="2">
        <f>INDEX(Константы!$F$18:$F$22,MATCH(I59,Константы!$A$18:$A$22,0))</f>
        <v/>
      </c>
      <c r="L59" s="2">
        <f>INDEX(Константы!$C$18:$C$22,MATCH(I59,Константы!$A$18:$A$22,0))</f>
        <v/>
      </c>
      <c r="M59" s="2">
        <f>G59&amp;", "&amp;H59&amp;", "&amp;E59&amp;", "&amp;F59&amp;IF(I59="S",", Божий","")</f>
        <v/>
      </c>
      <c r="N59" s="6" t="n">
        <v>30</v>
      </c>
      <c r="O59" s="6" t="n">
        <v>10</v>
      </c>
      <c r="P59" s="6" t="n">
        <v>2.8</v>
      </c>
      <c r="Q59" s="6" t="n">
        <v>1</v>
      </c>
      <c r="R59" s="6" t="inlineStr">
        <is>
          <t>оружие ближнее</t>
        </is>
      </c>
      <c r="S59" s="6" t="n">
        <v>4</v>
      </c>
      <c r="T59" s="6" t="n">
        <v>0</v>
      </c>
      <c r="U59" s="6" t="n">
        <v>0</v>
      </c>
      <c r="V59" s="6" t="n">
        <v>0</v>
      </c>
      <c r="W59" s="6" t="n">
        <v>0</v>
      </c>
      <c r="X59" s="2">
        <f>Q59*IF(R59="оружие ближнее",P59*Константы!$B$3,IF(R59="оружие дальнее",P59*Константы!$B$4,P59))</f>
        <v/>
      </c>
      <c r="Y59" s="15">
        <f>INDEX(Константы!$D$18:$D$22,MATCH(I59,Константы!$A$18:$A$22,0))</f>
        <v/>
      </c>
      <c r="Z59" s="16">
        <f>X59*(1+Y59)</f>
        <v/>
      </c>
      <c r="AA59" s="16">
        <f>N59*(1-INDEX(Константы!$E$18:$E$22,MATCH(I59,Константы!$A$18:$A$22,0)))</f>
        <v/>
      </c>
      <c r="AB59" s="14">
        <f>IF(AA59&gt;0,Z59/AA59,0)</f>
        <v/>
      </c>
      <c r="AC59" s="16">
        <f>IF(O59&gt;0,Z59/O59,0)</f>
        <v/>
      </c>
      <c r="AD59" s="14">
        <f>IF(AA59&gt;0,AB59/Константы!$B$14,0)</f>
        <v/>
      </c>
      <c r="AE59" s="2">
        <f>IF(Z59=0,"без урона",IF(AD59&gt;Константы!$B$12,"перегиб",IF(AND(AA59&gt;0,AD59&lt;Константы!$B$13),"слабый","норма")))</f>
        <v/>
      </c>
      <c r="AF59" s="2" t="inlineStr">
        <is>
          <t>Удар +15% урона за каждую «вину» на враге (до 5), снимает вину.</t>
        </is>
      </c>
      <c r="AG59" s="2" t="inlineStr">
        <is>
          <t>Удар вниз, над врагом лопаются тёмные отметины.</t>
        </is>
      </c>
      <c r="AH59" s="2">
        <f>"Flat game UI rune icon, 256x256, centered on a dark slate (#1E2230) square tile. An outer "&amp;INDEX(Руны!$C$27:$C$30,MATCH(G59,Руны!$A$27:$A$30,0))&amp;", thick carved "&amp;INDEX(Руны!$F$2:$F$10,MATCH(E59,Руны!$A$2:$A$10,0))&amp;" stroke"&amp;INDEX(Руны!$G$2:$G$10,MATCH(E59,Руны!$A$2:$A$10,0))&amp;" and a "&amp;INDEX(Руны!$I$2:$I$10,MATCH(E59,Руны!$A$2:$A$10,0))&amp;" around its outside. Inside: "&amp;INDEX(Руны!$C$14:$C$23,MATCH(H59,Руны!$A$14:$A$23,0))&amp;". Chiseled straight line ends, flat vector, no perspective, faint outer glow."</f>
        <v/>
      </c>
      <c r="AI59" s="2" t="inlineStr">
        <is>
          <t>[Д] черновик</t>
        </is>
      </c>
    </row>
    <row r="60">
      <c r="A60" s="2" t="inlineStr">
        <is>
          <t>Чёрная метка</t>
        </is>
      </c>
      <c r="B60" s="2" t="inlineStr">
        <is>
          <t>Активный</t>
        </is>
      </c>
      <c r="C60" s="2" t="inlineStr">
        <is>
          <t>Пекло</t>
        </is>
      </c>
      <c r="D60" s="2" t="inlineStr">
        <is>
          <t>Чернобог</t>
        </is>
      </c>
      <c r="E60" s="2" t="inlineStr">
        <is>
          <t>Порча</t>
        </is>
      </c>
      <c r="F60" s="2" t="inlineStr">
        <is>
          <t>Ренж-ДД</t>
        </is>
      </c>
      <c r="G60" s="2" t="inlineStr">
        <is>
          <t>выстрел</t>
        </is>
      </c>
      <c r="H60" s="2" t="inlineStr">
        <is>
          <t>дебафф</t>
        </is>
      </c>
      <c r="I60" s="2" t="inlineStr">
        <is>
          <t>D</t>
        </is>
      </c>
      <c r="J60" s="2">
        <f>INDEX(Константы!$G$18:$G$22,MATCH(I60,Константы!$A$18:$A$22,0))</f>
        <v/>
      </c>
      <c r="K60" s="2">
        <f>INDEX(Константы!$F$18:$F$22,MATCH(I60,Константы!$A$18:$A$22,0))</f>
        <v/>
      </c>
      <c r="L60" s="2">
        <f>INDEX(Константы!$C$18:$C$22,MATCH(I60,Константы!$A$18:$A$22,0))</f>
        <v/>
      </c>
      <c r="M60" s="2">
        <f>G60&amp;", "&amp;H60&amp;", "&amp;E60&amp;", "&amp;F60&amp;IF(I60="S",", Божий","")</f>
        <v/>
      </c>
      <c r="N60" s="6" t="n">
        <v>10</v>
      </c>
      <c r="O60" s="6" t="n">
        <v>3</v>
      </c>
      <c r="P60" s="6" t="n">
        <v>1</v>
      </c>
      <c r="Q60" s="6" t="n">
        <v>1</v>
      </c>
      <c r="R60" s="6" t="inlineStr">
        <is>
          <t>оружие дальнее</t>
        </is>
      </c>
      <c r="S60" s="6" t="n">
        <v>0</v>
      </c>
      <c r="T60" s="6" t="n">
        <v>35</v>
      </c>
      <c r="U60" s="6" t="n">
        <v>0</v>
      </c>
      <c r="V60" s="6" t="n">
        <v>8</v>
      </c>
      <c r="W60" s="6" t="n">
        <v>0</v>
      </c>
      <c r="X60" s="2">
        <f>Q60*IF(R60="оружие ближнее",P60*Константы!$B$3,IF(R60="оружие дальнее",P60*Константы!$B$4,P60))</f>
        <v/>
      </c>
      <c r="Y60" s="15">
        <f>INDEX(Константы!$D$18:$D$22,MATCH(I60,Константы!$A$18:$A$22,0))</f>
        <v/>
      </c>
      <c r="Z60" s="16">
        <f>X60*(1+Y60)</f>
        <v/>
      </c>
      <c r="AA60" s="16">
        <f>N60*(1-INDEX(Константы!$E$18:$E$22,MATCH(I60,Константы!$A$18:$A$22,0)))</f>
        <v/>
      </c>
      <c r="AB60" s="14">
        <f>IF(AA60&gt;0,Z60/AA60,0)</f>
        <v/>
      </c>
      <c r="AC60" s="16">
        <f>IF(O60&gt;0,Z60/O60,0)</f>
        <v/>
      </c>
      <c r="AD60" s="14">
        <f>IF(AA60&gt;0,AB60/Константы!$B$14,0)</f>
        <v/>
      </c>
      <c r="AE60" s="2">
        <f>IF(Z60=0,"без урона",IF(AD60&gt;Константы!$B$12,"перегиб",IF(AND(AA60&gt;0,AD60&lt;Константы!$B$13),"слабый","норма")))</f>
        <v/>
      </c>
      <c r="AF60" s="2" t="inlineStr">
        <is>
          <t>Выстрел вешает метку на 8 с: +2 «вины» и +10% урона по цели.</t>
        </is>
      </c>
      <c r="AG60" s="2" t="inlineStr">
        <is>
          <t>Чёрное пятно на враге, от него тонкие потёки.</t>
        </is>
      </c>
      <c r="AH60" s="2">
        <f>"Flat game UI rune icon, 256x256, centered on a dark slate (#1E2230) square tile. An outer "&amp;INDEX(Руны!$C$27:$C$30,MATCH(G60,Руны!$A$27:$A$30,0))&amp;", thick carved "&amp;INDEX(Руны!$F$2:$F$10,MATCH(E60,Руны!$A$2:$A$10,0))&amp;" stroke"&amp;INDEX(Руны!$G$2:$G$10,MATCH(E60,Руны!$A$2:$A$10,0))&amp;" and a "&amp;INDEX(Руны!$I$2:$I$10,MATCH(E60,Руны!$A$2:$A$10,0))&amp;" around its outside. Inside: "&amp;INDEX(Руны!$C$14:$C$23,MATCH(H60,Руны!$A$14:$A$23,0))&amp;". Chiseled straight line ends, flat vector, no perspective, faint outer glow."</f>
        <v/>
      </c>
      <c r="AI60" s="2" t="inlineStr">
        <is>
          <t>[Д] черновик</t>
        </is>
      </c>
    </row>
    <row r="61">
      <c r="A61" s="2" t="inlineStr">
        <is>
          <t>Приговор</t>
        </is>
      </c>
      <c r="B61" s="2" t="inlineStr">
        <is>
          <t>Активный</t>
        </is>
      </c>
      <c r="C61" s="2" t="inlineStr">
        <is>
          <t>Пекло</t>
        </is>
      </c>
      <c r="D61" s="2" t="inlineStr">
        <is>
          <t>Чернобог</t>
        </is>
      </c>
      <c r="E61" s="2" t="inlineStr">
        <is>
          <t>Порча</t>
        </is>
      </c>
      <c r="F61" s="2" t="inlineStr">
        <is>
          <t>Ренж-ДД</t>
        </is>
      </c>
      <c r="G61" s="2" t="inlineStr">
        <is>
          <t>чары</t>
        </is>
      </c>
      <c r="H61" s="2" t="inlineStr">
        <is>
          <t>снаряд</t>
        </is>
      </c>
      <c r="I61" s="2" t="inlineStr">
        <is>
          <t>S</t>
        </is>
      </c>
      <c r="J61" s="2">
        <f>INDEX(Константы!$G$18:$G$22,MATCH(I61,Константы!$A$18:$A$22,0))</f>
        <v/>
      </c>
      <c r="K61" s="2">
        <f>INDEX(Константы!$F$18:$F$22,MATCH(I61,Константы!$A$18:$A$22,0))</f>
        <v/>
      </c>
      <c r="L61" s="2">
        <f>INDEX(Константы!$C$18:$C$22,MATCH(I61,Константы!$A$18:$A$22,0))</f>
        <v/>
      </c>
      <c r="M61" s="2">
        <f>G61&amp;", "&amp;H61&amp;", "&amp;E61&amp;", "&amp;F61&amp;IF(I61="S",", Божий","")</f>
        <v/>
      </c>
      <c r="N61" s="6" t="n">
        <v>35</v>
      </c>
      <c r="O61" s="6" t="n">
        <v>20</v>
      </c>
      <c r="P61" s="6" t="n">
        <v>80</v>
      </c>
      <c r="Q61" s="6" t="n">
        <v>1</v>
      </c>
      <c r="R61" s="6" t="inlineStr">
        <is>
          <t>фикс</t>
        </is>
      </c>
      <c r="S61" s="6" t="n">
        <v>0</v>
      </c>
      <c r="T61" s="6" t="n">
        <v>40</v>
      </c>
      <c r="U61" s="6" t="n">
        <v>0.5</v>
      </c>
      <c r="V61" s="6" t="n">
        <v>0</v>
      </c>
      <c r="W61" s="6" t="n">
        <v>0</v>
      </c>
      <c r="X61" s="2">
        <f>Q61*IF(R61="оружие ближнее",P61*Константы!$B$3,IF(R61="оружие дальнее",P61*Константы!$B$4,P61))</f>
        <v/>
      </c>
      <c r="Y61" s="15">
        <f>INDEX(Константы!$D$18:$D$22,MATCH(I61,Константы!$A$18:$A$22,0))</f>
        <v/>
      </c>
      <c r="Z61" s="16">
        <f>X61*(1+Y61)</f>
        <v/>
      </c>
      <c r="AA61" s="16">
        <f>N61*(1-INDEX(Константы!$E$18:$E$22,MATCH(I61,Константы!$A$18:$A$22,0)))</f>
        <v/>
      </c>
      <c r="AB61" s="14">
        <f>IF(AA61&gt;0,Z61/AA61,0)</f>
        <v/>
      </c>
      <c r="AC61" s="16">
        <f>IF(O61&gt;0,Z61/O61,0)</f>
        <v/>
      </c>
      <c r="AD61" s="14">
        <f>IF(AA61&gt;0,AB61/Константы!$B$14,0)</f>
        <v/>
      </c>
      <c r="AE61" s="2">
        <f>IF(Z61=0,"без урона",IF(AD61&gt;Константы!$B$12,"перегиб",IF(AND(AA61&gt;0,AD61&lt;Константы!$B$13),"слабый","норма")))</f>
        <v/>
      </c>
      <c r="AF61" s="2" t="inlineStr">
        <is>
          <t>Снаряд-приговор: урон ×(1 + 0,5 за каждую «вину») на всех помеченных.</t>
        </is>
      </c>
      <c r="AG61" s="2" t="inlineStr">
        <is>
          <t>Чёрный свиток разворачивается над врагами, из него падают тени.</t>
        </is>
      </c>
      <c r="AH61" s="2">
        <f>"Flat game UI rune icon, 256x256, centered on a dark slate (#1E2230) square tile. An outer "&amp;INDEX(Руны!$C$27:$C$30,MATCH(G61,Руны!$A$27:$A$30,0))&amp;", thick carved "&amp;INDEX(Руны!$F$2:$F$10,MATCH(E61,Руны!$A$2:$A$10,0))&amp;" stroke"&amp;INDEX(Руны!$G$2:$G$10,MATCH(E61,Руны!$A$2:$A$10,0))&amp;" and a "&amp;INDEX(Руны!$I$2:$I$10,MATCH(E61,Руны!$A$2:$A$10,0))&amp;" around its outside. Inside: "&amp;INDEX(Руны!$C$14:$C$23,MATCH(H61,Руны!$A$14:$A$23,0))&amp;". Chiseled straight line ends, flat vector, no perspective, faint outer glow."</f>
        <v/>
      </c>
      <c r="AI61" s="2" t="inlineStr">
        <is>
          <t>[Д] черновик</t>
        </is>
      </c>
    </row>
    <row r="62">
      <c r="A62" s="2" t="inlineStr">
        <is>
          <t>Чёрная чаша</t>
        </is>
      </c>
      <c r="B62" s="2" t="inlineStr">
        <is>
          <t>Активный</t>
        </is>
      </c>
      <c r="C62" s="2" t="inlineStr">
        <is>
          <t>Пекло</t>
        </is>
      </c>
      <c r="D62" s="2" t="inlineStr">
        <is>
          <t>Чернобог</t>
        </is>
      </c>
      <c r="E62" s="2" t="inlineStr">
        <is>
          <t>Порча</t>
        </is>
      </c>
      <c r="F62" s="2" t="inlineStr">
        <is>
          <t>Танк</t>
        </is>
      </c>
      <c r="G62" s="2" t="inlineStr">
        <is>
          <t>чары</t>
        </is>
      </c>
      <c r="H62" s="2" t="inlineStr">
        <is>
          <t>щит</t>
        </is>
      </c>
      <c r="I62" s="2" t="inlineStr">
        <is>
          <t>D</t>
        </is>
      </c>
      <c r="J62" s="2">
        <f>INDEX(Константы!$G$18:$G$22,MATCH(I62,Константы!$A$18:$A$22,0))</f>
        <v/>
      </c>
      <c r="K62" s="2">
        <f>INDEX(Константы!$F$18:$F$22,MATCH(I62,Константы!$A$18:$A$22,0))</f>
        <v/>
      </c>
      <c r="L62" s="2">
        <f>INDEX(Константы!$C$18:$C$22,MATCH(I62,Константы!$A$18:$A$22,0))</f>
        <v/>
      </c>
      <c r="M62" s="2">
        <f>G62&amp;", "&amp;H62&amp;", "&amp;E62&amp;", "&amp;F62&amp;IF(I62="S",", Божий","")</f>
        <v/>
      </c>
      <c r="N62" s="6" t="n">
        <v>25</v>
      </c>
      <c r="O62" s="6" t="n">
        <v>15</v>
      </c>
      <c r="P62" s="6" t="n">
        <v>0</v>
      </c>
      <c r="Q62" s="6" t="n">
        <v>1</v>
      </c>
      <c r="R62" s="6" t="inlineStr">
        <is>
          <t>фикс</t>
        </is>
      </c>
      <c r="S62" s="6" t="n">
        <v>0</v>
      </c>
      <c r="T62" s="6" t="n">
        <v>0</v>
      </c>
      <c r="U62" s="6" t="n">
        <v>0</v>
      </c>
      <c r="V62" s="6" t="n">
        <v>4</v>
      </c>
      <c r="W62" s="6" t="n">
        <v>0</v>
      </c>
      <c r="X62" s="2">
        <f>Q62*IF(R62="оружие ближнее",P62*Константы!$B$3,IF(R62="оружие дальнее",P62*Константы!$B$4,P62))</f>
        <v/>
      </c>
      <c r="Y62" s="15">
        <f>INDEX(Константы!$D$18:$D$22,MATCH(I62,Константы!$A$18:$A$22,0))</f>
        <v/>
      </c>
      <c r="Z62" s="16">
        <f>X62*(1+Y62)</f>
        <v/>
      </c>
      <c r="AA62" s="16">
        <f>N62*(1-INDEX(Константы!$E$18:$E$22,MATCH(I62,Константы!$A$18:$A$22,0)))</f>
        <v/>
      </c>
      <c r="AB62" s="14">
        <f>IF(AA62&gt;0,Z62/AA62,0)</f>
        <v/>
      </c>
      <c r="AC62" s="16">
        <f>IF(O62&gt;0,Z62/O62,0)</f>
        <v/>
      </c>
      <c r="AD62" s="14">
        <f>IF(AA62&gt;0,AB62/Константы!$B$14,0)</f>
        <v/>
      </c>
      <c r="AE62" s="2">
        <f>IF(Z62=0,"без урона",IF(AD62&gt;Константы!$B$12,"перегиб",IF(AND(AA62&gt;0,AD62&lt;Константы!$B$13),"слабый","норма")))</f>
        <v/>
      </c>
      <c r="AF62" s="2" t="inlineStr">
        <is>
          <t>Чаша принимает 20% здоровья урона; остаток порчи выливается на врагов рядом.</t>
        </is>
      </c>
      <c r="AG62" s="2" t="inlineStr">
        <is>
          <t>Тёмная чаша в руках, из неё выплёскивается порча.</t>
        </is>
      </c>
      <c r="AH62" s="2">
        <f>"Flat game UI rune icon, 256x256, centered on a dark slate (#1E2230) square tile. An outer "&amp;INDEX(Руны!$C$27:$C$30,MATCH(G62,Руны!$A$27:$A$30,0))&amp;", thick carved "&amp;INDEX(Руны!$F$2:$F$10,MATCH(E62,Руны!$A$2:$A$10,0))&amp;" stroke"&amp;INDEX(Руны!$G$2:$G$10,MATCH(E62,Руны!$A$2:$A$10,0))&amp;" and a "&amp;INDEX(Руны!$I$2:$I$10,MATCH(E62,Руны!$A$2:$A$10,0))&amp;" around its outside. Inside: "&amp;INDEX(Руны!$C$14:$C$23,MATCH(H62,Руны!$A$14:$A$23,0))&amp;". Chiseled straight line ends, flat vector, no perspective, faint outer glow."</f>
        <v/>
      </c>
      <c r="AI62" s="2" t="inlineStr">
        <is>
          <t>[Д] черновик</t>
        </is>
      </c>
    </row>
    <row r="63">
      <c r="A63" s="2" t="inlineStr">
        <is>
          <t>Мера</t>
        </is>
      </c>
      <c r="B63" s="2" t="inlineStr">
        <is>
          <t>Активный</t>
        </is>
      </c>
      <c r="C63" s="2" t="inlineStr">
        <is>
          <t>Пекло</t>
        </is>
      </c>
      <c r="D63" s="2" t="inlineStr">
        <is>
          <t>Чернобог</t>
        </is>
      </c>
      <c r="E63" s="2" t="inlineStr">
        <is>
          <t>Порча</t>
        </is>
      </c>
      <c r="F63" s="2" t="inlineStr">
        <is>
          <t>Танк</t>
        </is>
      </c>
      <c r="G63" s="2" t="inlineStr">
        <is>
          <t>чары</t>
        </is>
      </c>
      <c r="H63" s="2" t="inlineStr">
        <is>
          <t>щит</t>
        </is>
      </c>
      <c r="I63" s="2" t="inlineStr">
        <is>
          <t>C</t>
        </is>
      </c>
      <c r="J63" s="2">
        <f>INDEX(Константы!$G$18:$G$22,MATCH(I63,Константы!$A$18:$A$22,0))</f>
        <v/>
      </c>
      <c r="K63" s="2">
        <f>INDEX(Константы!$F$18:$F$22,MATCH(I63,Константы!$A$18:$A$22,0))</f>
        <v/>
      </c>
      <c r="L63" s="2">
        <f>INDEX(Константы!$C$18:$C$22,MATCH(I63,Константы!$A$18:$A$22,0))</f>
        <v/>
      </c>
      <c r="M63" s="2">
        <f>G63&amp;", "&amp;H63&amp;", "&amp;E63&amp;", "&amp;F63&amp;IF(I63="S",", Божий","")</f>
        <v/>
      </c>
      <c r="N63" s="6" t="n">
        <v>30</v>
      </c>
      <c r="O63" s="6" t="n">
        <v>18</v>
      </c>
      <c r="P63" s="6" t="n">
        <v>0</v>
      </c>
      <c r="Q63" s="6" t="n">
        <v>1</v>
      </c>
      <c r="R63" s="6" t="inlineStr">
        <is>
          <t>фикс</t>
        </is>
      </c>
      <c r="S63" s="6" t="n">
        <v>4</v>
      </c>
      <c r="T63" s="6" t="n">
        <v>0</v>
      </c>
      <c r="U63" s="6" t="n">
        <v>0</v>
      </c>
      <c r="V63" s="6" t="n">
        <v>6</v>
      </c>
      <c r="W63" s="6" t="n">
        <v>0</v>
      </c>
      <c r="X63" s="2">
        <f>Q63*IF(R63="оружие ближнее",P63*Константы!$B$3,IF(R63="оружие дальнее",P63*Константы!$B$4,P63))</f>
        <v/>
      </c>
      <c r="Y63" s="15">
        <f>INDEX(Константы!$D$18:$D$22,MATCH(I63,Константы!$A$18:$A$22,0))</f>
        <v/>
      </c>
      <c r="Z63" s="16">
        <f>X63*(1+Y63)</f>
        <v/>
      </c>
      <c r="AA63" s="16">
        <f>N63*(1-INDEX(Константы!$E$18:$E$22,MATCH(I63,Константы!$A$18:$A$22,0)))</f>
        <v/>
      </c>
      <c r="AB63" s="14">
        <f>IF(AA63&gt;0,Z63/AA63,0)</f>
        <v/>
      </c>
      <c r="AC63" s="16">
        <f>IF(O63&gt;0,Z63/O63,0)</f>
        <v/>
      </c>
      <c r="AD63" s="14">
        <f>IF(AA63&gt;0,AB63/Константы!$B$14,0)</f>
        <v/>
      </c>
      <c r="AE63" s="2">
        <f>IF(Z63=0,"без урона",IF(AD63&gt;Константы!$B$12,"перегиб",IF(AND(AA63&gt;0,AD63&lt;Константы!$B$13),"слабый","норма")))</f>
        <v/>
      </c>
      <c r="AF63" s="2" t="inlineStr">
        <is>
          <t>6 с: урон сверх 10% здоровья за удар срезается и возвращается врагу.</t>
        </is>
      </c>
      <c r="AG63" s="2" t="inlineStr">
        <is>
          <t>Весы из тени, одна чаша перевешивает.</t>
        </is>
      </c>
      <c r="AH63" s="2">
        <f>"Flat game UI rune icon, 256x256, centered on a dark slate (#1E2230) square tile. An outer "&amp;INDEX(Руны!$C$27:$C$30,MATCH(G63,Руны!$A$27:$A$30,0))&amp;", thick carved "&amp;INDEX(Руны!$F$2:$F$10,MATCH(E63,Руны!$A$2:$A$10,0))&amp;" stroke"&amp;INDEX(Руны!$G$2:$G$10,MATCH(E63,Руны!$A$2:$A$10,0))&amp;" and a "&amp;INDEX(Руны!$I$2:$I$10,MATCH(E63,Руны!$A$2:$A$10,0))&amp;" around its outside. Inside: "&amp;INDEX(Руны!$C$14:$C$23,MATCH(H63,Руны!$A$14:$A$23,0))&amp;". Chiseled straight line ends, flat vector, no perspective, faint outer glow."</f>
        <v/>
      </c>
      <c r="AI63" s="2" t="inlineStr">
        <is>
          <t>[Д] черновик</t>
        </is>
      </c>
    </row>
    <row r="64">
      <c r="A64" s="2" t="inlineStr">
        <is>
          <t>Довольно</t>
        </is>
      </c>
      <c r="B64" s="2" t="inlineStr">
        <is>
          <t>Активный</t>
        </is>
      </c>
      <c r="C64" s="2" t="inlineStr">
        <is>
          <t>Пекло</t>
        </is>
      </c>
      <c r="D64" s="2" t="inlineStr">
        <is>
          <t>Чернобог</t>
        </is>
      </c>
      <c r="E64" s="2" t="inlineStr">
        <is>
          <t>Порча</t>
        </is>
      </c>
      <c r="F64" s="2" t="inlineStr">
        <is>
          <t>Хил</t>
        </is>
      </c>
      <c r="G64" s="2" t="inlineStr">
        <is>
          <t>чары</t>
        </is>
      </c>
      <c r="H64" s="2" t="inlineStr">
        <is>
          <t>лечение</t>
        </is>
      </c>
      <c r="I64" s="2" t="inlineStr">
        <is>
          <t>D</t>
        </is>
      </c>
      <c r="J64" s="2">
        <f>INDEX(Константы!$G$18:$G$22,MATCH(I64,Константы!$A$18:$A$22,0))</f>
        <v/>
      </c>
      <c r="K64" s="2">
        <f>INDEX(Константы!$F$18:$F$22,MATCH(I64,Константы!$A$18:$A$22,0))</f>
        <v/>
      </c>
      <c r="L64" s="2">
        <f>INDEX(Константы!$C$18:$C$22,MATCH(I64,Константы!$A$18:$A$22,0))</f>
        <v/>
      </c>
      <c r="M64" s="2">
        <f>G64&amp;", "&amp;H64&amp;", "&amp;E64&amp;", "&amp;F64&amp;IF(I64="S",", Божий","")</f>
        <v/>
      </c>
      <c r="N64" s="6" t="n">
        <v>20</v>
      </c>
      <c r="O64" s="6" t="n">
        <v>12</v>
      </c>
      <c r="P64" s="6" t="n">
        <v>0</v>
      </c>
      <c r="Q64" s="6" t="n">
        <v>1</v>
      </c>
      <c r="R64" s="6" t="inlineStr">
        <is>
          <t>фикс</t>
        </is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2">
        <f>Q64*IF(R64="оружие ближнее",P64*Константы!$B$3,IF(R64="оружие дальнее",P64*Константы!$B$4,P64))</f>
        <v/>
      </c>
      <c r="Y64" s="15">
        <f>INDEX(Константы!$D$18:$D$22,MATCH(I64,Константы!$A$18:$A$22,0))</f>
        <v/>
      </c>
      <c r="Z64" s="16">
        <f>X64*(1+Y64)</f>
        <v/>
      </c>
      <c r="AA64" s="16">
        <f>N64*(1-INDEX(Константы!$E$18:$E$22,MATCH(I64,Константы!$A$18:$A$22,0)))</f>
        <v/>
      </c>
      <c r="AB64" s="14">
        <f>IF(AA64&gt;0,Z64/AA64,0)</f>
        <v/>
      </c>
      <c r="AC64" s="16">
        <f>IF(O64&gt;0,Z64/O64,0)</f>
        <v/>
      </c>
      <c r="AD64" s="14">
        <f>IF(AA64&gt;0,AB64/Константы!$B$14,0)</f>
        <v/>
      </c>
      <c r="AE64" s="2">
        <f>IF(Z64=0,"без урона",IF(AD64&gt;Константы!$B$12,"перегиб",IF(AND(AA64&gt;0,AD64&lt;Константы!$B$13),"слабый","норма")))</f>
        <v/>
      </c>
      <c r="AF64" s="2" t="inlineStr">
        <is>
          <t>Снимает с себя все дебаффы и лечит 10% здоровья за каждый снятый.</t>
        </is>
      </c>
      <c r="AG64" s="2" t="inlineStr">
        <is>
          <t>Ладонь накрывает чашу; с тела осыпается чёрная пыль.</t>
        </is>
      </c>
      <c r="AH64" s="2">
        <f>"Flat game UI rune icon, 256x256, centered on a dark slate (#1E2230) square tile. An outer "&amp;INDEX(Руны!$C$27:$C$30,MATCH(G64,Руны!$A$27:$A$30,0))&amp;", thick carved "&amp;INDEX(Руны!$F$2:$F$10,MATCH(E64,Руны!$A$2:$A$10,0))&amp;" stroke"&amp;INDEX(Руны!$G$2:$G$10,MATCH(E64,Руны!$A$2:$A$10,0))&amp;" and a "&amp;INDEX(Руны!$I$2:$I$10,MATCH(E64,Руны!$A$2:$A$10,0))&amp;" around its outside. Inside: "&amp;INDEX(Руны!$C$14:$C$23,MATCH(H64,Руны!$A$14:$A$23,0))&amp;". Chiseled straight line ends, flat vector, no perspective, faint outer glow."</f>
        <v/>
      </c>
      <c r="AI64" s="2" t="inlineStr">
        <is>
          <t>[Д] черновик</t>
        </is>
      </c>
    </row>
    <row r="65">
      <c r="A65" s="2" t="inlineStr">
        <is>
          <t>Испить чашу</t>
        </is>
      </c>
      <c r="B65" s="2" t="inlineStr">
        <is>
          <t>Активный</t>
        </is>
      </c>
      <c r="C65" s="2" t="inlineStr">
        <is>
          <t>Пекло</t>
        </is>
      </c>
      <c r="D65" s="2" t="inlineStr">
        <is>
          <t>Чернобог</t>
        </is>
      </c>
      <c r="E65" s="2" t="inlineStr">
        <is>
          <t>Порча</t>
        </is>
      </c>
      <c r="F65" s="2" t="inlineStr">
        <is>
          <t>Хил</t>
        </is>
      </c>
      <c r="G65" s="2" t="inlineStr">
        <is>
          <t>чары</t>
        </is>
      </c>
      <c r="H65" s="2" t="inlineStr">
        <is>
          <t>лечение</t>
        </is>
      </c>
      <c r="I65" s="2" t="inlineStr">
        <is>
          <t>A</t>
        </is>
      </c>
      <c r="J65" s="2">
        <f>INDEX(Константы!$G$18:$G$22,MATCH(I65,Константы!$A$18:$A$22,0))</f>
        <v/>
      </c>
      <c r="K65" s="2">
        <f>INDEX(Константы!$F$18:$F$22,MATCH(I65,Константы!$A$18:$A$22,0))</f>
        <v/>
      </c>
      <c r="L65" s="2">
        <f>INDEX(Константы!$C$18:$C$22,MATCH(I65,Константы!$A$18:$A$22,0))</f>
        <v/>
      </c>
      <c r="M65" s="2">
        <f>G65&amp;", "&amp;H65&amp;", "&amp;E65&amp;", "&amp;F65&amp;IF(I65="S",", Божий","")</f>
        <v/>
      </c>
      <c r="N65" s="6" t="n">
        <v>30</v>
      </c>
      <c r="O65" s="6" t="n">
        <v>20</v>
      </c>
      <c r="P65" s="6" t="n">
        <v>30</v>
      </c>
      <c r="Q65" s="6" t="n">
        <v>1</v>
      </c>
      <c r="R65" s="6" t="inlineStr">
        <is>
          <t>фикс</t>
        </is>
      </c>
      <c r="S65" s="6" t="n">
        <v>10</v>
      </c>
      <c r="T65" s="6" t="n">
        <v>0</v>
      </c>
      <c r="U65" s="6" t="n">
        <v>0</v>
      </c>
      <c r="V65" s="6" t="n">
        <v>0</v>
      </c>
      <c r="W65" s="6" t="n">
        <v>0</v>
      </c>
      <c r="X65" s="2">
        <f>Q65*IF(R65="оружие ближнее",P65*Константы!$B$3,IF(R65="оружие дальнее",P65*Константы!$B$4,P65))</f>
        <v/>
      </c>
      <c r="Y65" s="15">
        <f>INDEX(Константы!$D$18:$D$22,MATCH(I65,Константы!$A$18:$A$22,0))</f>
        <v/>
      </c>
      <c r="Z65" s="16">
        <f>X65*(1+Y65)</f>
        <v/>
      </c>
      <c r="AA65" s="16">
        <f>N65*(1-INDEX(Константы!$E$18:$E$22,MATCH(I65,Константы!$A$18:$A$22,0)))</f>
        <v/>
      </c>
      <c r="AB65" s="14">
        <f>IF(AA65&gt;0,Z65/AA65,0)</f>
        <v/>
      </c>
      <c r="AC65" s="16">
        <f>IF(O65&gt;0,Z65/O65,0)</f>
        <v/>
      </c>
      <c r="AD65" s="14">
        <f>IF(AA65&gt;0,AB65/Константы!$B$14,0)</f>
        <v/>
      </c>
      <c r="AE65" s="2">
        <f>IF(Z65=0,"без урона",IF(AD65&gt;Константы!$B$12,"перегиб",IF(AND(AA65&gt;0,AD65&lt;Константы!$B$13),"слабый","норма")))</f>
        <v/>
      </c>
      <c r="AF65" s="2" t="inlineStr">
        <is>
          <t>Вытягивает «вину» со всех врагов в круге: 4% здоровья за каждую.</t>
        </is>
      </c>
      <c r="AG65" s="2" t="inlineStr">
        <is>
          <t>Тонкие тёмные струи тянутся от врагов в чашу героя.</t>
        </is>
      </c>
      <c r="AH65" s="2">
        <f>"Flat game UI rune icon, 256x256, centered on a dark slate (#1E2230) square tile. An outer "&amp;INDEX(Руны!$C$27:$C$30,MATCH(G65,Руны!$A$27:$A$30,0))&amp;", thick carved "&amp;INDEX(Руны!$F$2:$F$10,MATCH(E65,Руны!$A$2:$A$10,0))&amp;" stroke"&amp;INDEX(Руны!$G$2:$G$10,MATCH(E65,Руны!$A$2:$A$10,0))&amp;" and a "&amp;INDEX(Руны!$I$2:$I$10,MATCH(E65,Руны!$A$2:$A$10,0))&amp;" around its outside. Inside: "&amp;INDEX(Руны!$C$14:$C$23,MATCH(H65,Руны!$A$14:$A$23,0))&amp;". Chiseled straight line ends, flat vector, no perspective, faint outer glow."</f>
        <v/>
      </c>
      <c r="AI65" s="2" t="inlineStr">
        <is>
          <t>[Д] черновик</t>
        </is>
      </c>
    </row>
    <row r="66">
      <c r="A66" s="2" t="inlineStr">
        <is>
          <t>Тень-пристав</t>
        </is>
      </c>
      <c r="B66" s="2" t="inlineStr">
        <is>
          <t>Активный</t>
        </is>
      </c>
      <c r="C66" s="2" t="inlineStr">
        <is>
          <t>Пекло</t>
        </is>
      </c>
      <c r="D66" s="2" t="inlineStr">
        <is>
          <t>Чернобог</t>
        </is>
      </c>
      <c r="E66" s="2" t="inlineStr">
        <is>
          <t>Порча</t>
        </is>
      </c>
      <c r="F66" s="2" t="inlineStr">
        <is>
          <t>Призыв</t>
        </is>
      </c>
      <c r="G66" s="2" t="inlineStr">
        <is>
          <t>чары</t>
        </is>
      </c>
      <c r="H66" s="2" t="inlineStr">
        <is>
          <t>призыв</t>
        </is>
      </c>
      <c r="I66" s="2" t="inlineStr">
        <is>
          <t>C</t>
        </is>
      </c>
      <c r="J66" s="2">
        <f>INDEX(Константы!$G$18:$G$22,MATCH(I66,Константы!$A$18:$A$22,0))</f>
        <v/>
      </c>
      <c r="K66" s="2">
        <f>INDEX(Константы!$F$18:$F$22,MATCH(I66,Константы!$A$18:$A$22,0))</f>
        <v/>
      </c>
      <c r="L66" s="2">
        <f>INDEX(Константы!$C$18:$C$22,MATCH(I66,Константы!$A$18:$A$22,0))</f>
        <v/>
      </c>
      <c r="M66" s="2">
        <f>G66&amp;", "&amp;H66&amp;", "&amp;E66&amp;", "&amp;F66&amp;IF(I66="S",", Божий","")</f>
        <v/>
      </c>
      <c r="N66" s="6" t="n">
        <v>25</v>
      </c>
      <c r="O66" s="6" t="n">
        <v>18</v>
      </c>
      <c r="P66" s="6" t="n">
        <v>15</v>
      </c>
      <c r="Q66" s="6" t="n">
        <v>12</v>
      </c>
      <c r="R66" s="6" t="inlineStr">
        <is>
          <t>фикс</t>
        </is>
      </c>
      <c r="S66" s="6" t="n">
        <v>0</v>
      </c>
      <c r="T66" s="6" t="n">
        <v>0</v>
      </c>
      <c r="U66" s="6" t="n">
        <v>0</v>
      </c>
      <c r="V66" s="6" t="n">
        <v>12</v>
      </c>
      <c r="W66" s="6" t="n">
        <v>0</v>
      </c>
      <c r="X66" s="2">
        <f>Q66*IF(R66="оружие ближнее",P66*Константы!$B$3,IF(R66="оружие дальнее",P66*Константы!$B$4,P66))</f>
        <v/>
      </c>
      <c r="Y66" s="15">
        <f>INDEX(Константы!$D$18:$D$22,MATCH(I66,Константы!$A$18:$A$22,0))</f>
        <v/>
      </c>
      <c r="Z66" s="16">
        <f>X66*(1+Y66)</f>
        <v/>
      </c>
      <c r="AA66" s="16">
        <f>N66*(1-INDEX(Константы!$E$18:$E$22,MATCH(I66,Константы!$A$18:$A$22,0)))</f>
        <v/>
      </c>
      <c r="AB66" s="14">
        <f>IF(AA66&gt;0,Z66/AA66,0)</f>
        <v/>
      </c>
      <c r="AC66" s="16">
        <f>IF(O66&gt;0,Z66/O66,0)</f>
        <v/>
      </c>
      <c r="AD66" s="14">
        <f>IF(AA66&gt;0,AB66/Константы!$B$14,0)</f>
        <v/>
      </c>
      <c r="AE66" s="2">
        <f>IF(Z66=0,"без урона",IF(AD66&gt;Константы!$B$12,"перегиб",IF(AND(AA66&gt;0,AD66&lt;Константы!$B$13),"слабый","норма")))</f>
        <v/>
      </c>
      <c r="AF66" s="2" t="inlineStr">
        <is>
          <t>Тень-пристав 12 с ходит за самым «виноватым» врагом и бьёт его.</t>
        </is>
      </c>
      <c r="AG66" s="2" t="inlineStr">
        <is>
          <t>Сутулая тень с посохом стоит за спиной врага.</t>
        </is>
      </c>
      <c r="AH66" s="2">
        <f>"Flat game UI rune icon, 256x256, centered on a dark slate (#1E2230) square tile. An outer "&amp;INDEX(Руны!$C$27:$C$30,MATCH(G66,Руны!$A$27:$A$30,0))&amp;", thick carved "&amp;INDEX(Руны!$F$2:$F$10,MATCH(E66,Руны!$A$2:$A$10,0))&amp;" stroke"&amp;INDEX(Руны!$G$2:$G$10,MATCH(E66,Руны!$A$2:$A$10,0))&amp;" and a "&amp;INDEX(Руны!$I$2:$I$10,MATCH(E66,Руны!$A$2:$A$10,0))&amp;" around its outside. Inside: "&amp;INDEX(Руны!$C$14:$C$23,MATCH(H66,Руны!$A$14:$A$23,0))&amp;". Chiseled straight line ends, flat vector, no perspective, faint outer glow."</f>
        <v/>
      </c>
      <c r="AI66" s="2" t="inlineStr">
        <is>
          <t>[Д] черновик</t>
        </is>
      </c>
    </row>
    <row r="67">
      <c r="A67" s="2" t="inlineStr">
        <is>
          <t>Должники</t>
        </is>
      </c>
      <c r="B67" s="2" t="inlineStr">
        <is>
          <t>Активный</t>
        </is>
      </c>
      <c r="C67" s="2" t="inlineStr">
        <is>
          <t>Пекло</t>
        </is>
      </c>
      <c r="D67" s="2" t="inlineStr">
        <is>
          <t>Чернобог</t>
        </is>
      </c>
      <c r="E67" s="2" t="inlineStr">
        <is>
          <t>Порча</t>
        </is>
      </c>
      <c r="F67" s="2" t="inlineStr">
        <is>
          <t>Призыв</t>
        </is>
      </c>
      <c r="G67" s="2" t="inlineStr">
        <is>
          <t>чары</t>
        </is>
      </c>
      <c r="H67" s="2" t="inlineStr">
        <is>
          <t>призыв</t>
        </is>
      </c>
      <c r="I67" s="2" t="inlineStr">
        <is>
          <t>C</t>
        </is>
      </c>
      <c r="J67" s="2">
        <f>INDEX(Константы!$G$18:$G$22,MATCH(I67,Константы!$A$18:$A$22,0))</f>
        <v/>
      </c>
      <c r="K67" s="2">
        <f>INDEX(Константы!$F$18:$F$22,MATCH(I67,Константы!$A$18:$A$22,0))</f>
        <v/>
      </c>
      <c r="L67" s="2">
        <f>INDEX(Константы!$C$18:$C$22,MATCH(I67,Константы!$A$18:$A$22,0))</f>
        <v/>
      </c>
      <c r="M67" s="2">
        <f>G67&amp;", "&amp;H67&amp;", "&amp;E67&amp;", "&amp;F67&amp;IF(I67="S",", Божий","")</f>
        <v/>
      </c>
      <c r="N67" s="6" t="n">
        <v>30</v>
      </c>
      <c r="O67" s="6" t="n">
        <v>20</v>
      </c>
      <c r="P67" s="6" t="n">
        <v>12</v>
      </c>
      <c r="Q67" s="6" t="n">
        <v>10</v>
      </c>
      <c r="R67" s="6" t="inlineStr">
        <is>
          <t>фикс</t>
        </is>
      </c>
      <c r="S67" s="6" t="n">
        <v>0</v>
      </c>
      <c r="T67" s="6" t="n">
        <v>0</v>
      </c>
      <c r="U67" s="6" t="n">
        <v>0</v>
      </c>
      <c r="V67" s="6" t="n">
        <v>10</v>
      </c>
      <c r="W67" s="6" t="n">
        <v>0</v>
      </c>
      <c r="X67" s="2">
        <f>Q67*IF(R67="оружие ближнее",P67*Константы!$B$3,IF(R67="оружие дальнее",P67*Константы!$B$4,P67))</f>
        <v/>
      </c>
      <c r="Y67" s="15">
        <f>INDEX(Константы!$D$18:$D$22,MATCH(I67,Константы!$A$18:$A$22,0))</f>
        <v/>
      </c>
      <c r="Z67" s="16">
        <f>X67*(1+Y67)</f>
        <v/>
      </c>
      <c r="AA67" s="16">
        <f>N67*(1-INDEX(Константы!$E$18:$E$22,MATCH(I67,Константы!$A$18:$A$22,0)))</f>
        <v/>
      </c>
      <c r="AB67" s="14">
        <f>IF(AA67&gt;0,Z67/AA67,0)</f>
        <v/>
      </c>
      <c r="AC67" s="16">
        <f>IF(O67&gt;0,Z67/O67,0)</f>
        <v/>
      </c>
      <c r="AD67" s="14">
        <f>IF(AA67&gt;0,AB67/Константы!$B$14,0)</f>
        <v/>
      </c>
      <c r="AE67" s="2">
        <f>IF(Z67=0,"без урона",IF(AD67&gt;Константы!$B$12,"перегиб",IF(AND(AA67&gt;0,AD67&lt;Константы!$B$13),"слабый","норма")))</f>
        <v/>
      </c>
      <c r="AF67" s="2" t="inlineStr">
        <is>
          <t>10 с: помеченные враги при смерти встают тенями на сторону героя.</t>
        </is>
      </c>
      <c r="AG67" s="2" t="inlineStr">
        <is>
          <t>Бледные тени павших встают из чёрных пятен.</t>
        </is>
      </c>
      <c r="AH67" s="2">
        <f>"Flat game UI rune icon, 256x256, centered on a dark slate (#1E2230) square tile. An outer "&amp;INDEX(Руны!$C$27:$C$30,MATCH(G67,Руны!$A$27:$A$30,0))&amp;", thick carved "&amp;INDEX(Руны!$F$2:$F$10,MATCH(E67,Руны!$A$2:$A$10,0))&amp;" stroke"&amp;INDEX(Руны!$G$2:$G$10,MATCH(E67,Руны!$A$2:$A$10,0))&amp;" and a "&amp;INDEX(Руны!$I$2:$I$10,MATCH(E67,Руны!$A$2:$A$10,0))&amp;" around its outside. Inside: "&amp;INDEX(Руны!$C$14:$C$23,MATCH(H67,Руны!$A$14:$A$23,0))&amp;". Chiseled straight line ends, flat vector, no perspective, faint outer glow."</f>
        <v/>
      </c>
      <c r="AI67" s="2" t="inlineStr">
        <is>
          <t>[Д] черновик</t>
        </is>
      </c>
    </row>
    <row r="68">
      <c r="A68" s="2" t="inlineStr">
        <is>
          <t>Вина</t>
        </is>
      </c>
      <c r="B68" s="2" t="inlineStr">
        <is>
          <t>Активный</t>
        </is>
      </c>
      <c r="C68" s="2" t="inlineStr">
        <is>
          <t>Пекло</t>
        </is>
      </c>
      <c r="D68" s="2" t="inlineStr">
        <is>
          <t>Чернобог</t>
        </is>
      </c>
      <c r="E68" s="2" t="inlineStr">
        <is>
          <t>Порча</t>
        </is>
      </c>
      <c r="F68" s="2" t="inlineStr">
        <is>
          <t>Саппорт</t>
        </is>
      </c>
      <c r="G68" s="2" t="inlineStr">
        <is>
          <t>чары</t>
        </is>
      </c>
      <c r="H68" s="2" t="inlineStr">
        <is>
          <t>дебафф</t>
        </is>
      </c>
      <c r="I68" s="2" t="inlineStr">
        <is>
          <t>D</t>
        </is>
      </c>
      <c r="J68" s="2">
        <f>INDEX(Константы!$G$18:$G$22,MATCH(I68,Константы!$A$18:$A$22,0))</f>
        <v/>
      </c>
      <c r="K68" s="2">
        <f>INDEX(Константы!$F$18:$F$22,MATCH(I68,Константы!$A$18:$A$22,0))</f>
        <v/>
      </c>
      <c r="L68" s="2">
        <f>INDEX(Константы!$C$18:$C$22,MATCH(I68,Константы!$A$18:$A$22,0))</f>
        <v/>
      </c>
      <c r="M68" s="2">
        <f>G68&amp;", "&amp;H68&amp;", "&amp;E68&amp;", "&amp;F68&amp;IF(I68="S",", Божий","")</f>
        <v/>
      </c>
      <c r="N68" s="6" t="n">
        <v>20</v>
      </c>
      <c r="O68" s="6" t="n">
        <v>10</v>
      </c>
      <c r="P68" s="6" t="n">
        <v>0</v>
      </c>
      <c r="Q68" s="6" t="n">
        <v>1</v>
      </c>
      <c r="R68" s="6" t="inlineStr">
        <is>
          <t>фикс</t>
        </is>
      </c>
      <c r="S68" s="6" t="n">
        <v>5</v>
      </c>
      <c r="T68" s="6" t="n">
        <v>25</v>
      </c>
      <c r="U68" s="6" t="n">
        <v>0</v>
      </c>
      <c r="V68" s="6" t="n">
        <v>10</v>
      </c>
      <c r="W68" s="6" t="n">
        <v>0</v>
      </c>
      <c r="X68" s="2">
        <f>Q68*IF(R68="оружие ближнее",P68*Константы!$B$3,IF(R68="оружие дальнее",P68*Константы!$B$4,P68))</f>
        <v/>
      </c>
      <c r="Y68" s="15">
        <f>INDEX(Константы!$D$18:$D$22,MATCH(I68,Константы!$A$18:$A$22,0))</f>
        <v/>
      </c>
      <c r="Z68" s="16">
        <f>X68*(1+Y68)</f>
        <v/>
      </c>
      <c r="AA68" s="16">
        <f>N68*(1-INDEX(Константы!$E$18:$E$22,MATCH(I68,Константы!$A$18:$A$22,0)))</f>
        <v/>
      </c>
      <c r="AB68" s="14">
        <f>IF(AA68&gt;0,Z68/AA68,0)</f>
        <v/>
      </c>
      <c r="AC68" s="16">
        <f>IF(O68&gt;0,Z68/O68,0)</f>
        <v/>
      </c>
      <c r="AD68" s="14">
        <f>IF(AA68&gt;0,AB68/Константы!$B$14,0)</f>
        <v/>
      </c>
      <c r="AE68" s="2">
        <f>IF(Z68=0,"без урона",IF(AD68&gt;Константы!$B$12,"перегиб",IF(AND(AA68&gt;0,AD68&lt;Константы!$B$13),"слабый","норма")))</f>
        <v/>
      </c>
      <c r="AF68" s="2" t="inlineStr">
        <is>
          <t>Облако вины: всем врагам в круге +3 «вины».</t>
        </is>
      </c>
      <c r="AG68" s="2" t="inlineStr">
        <is>
          <t>Тёмный туман оседает на плечи врагов.</t>
        </is>
      </c>
      <c r="AH68" s="2">
        <f>"Flat game UI rune icon, 256x256, centered on a dark slate (#1E2230) square tile. An outer "&amp;INDEX(Руны!$C$27:$C$30,MATCH(G68,Руны!$A$27:$A$30,0))&amp;", thick carved "&amp;INDEX(Руны!$F$2:$F$10,MATCH(E68,Руны!$A$2:$A$10,0))&amp;" stroke"&amp;INDEX(Руны!$G$2:$G$10,MATCH(E68,Руны!$A$2:$A$10,0))&amp;" and a "&amp;INDEX(Руны!$I$2:$I$10,MATCH(E68,Руны!$A$2:$A$10,0))&amp;" around its outside. Inside: "&amp;INDEX(Руны!$C$14:$C$23,MATCH(H68,Руны!$A$14:$A$23,0))&amp;". Chiseled straight line ends, flat vector, no perspective, faint outer glow."</f>
        <v/>
      </c>
      <c r="AI68" s="2" t="inlineStr">
        <is>
          <t>[Д] черновик</t>
        </is>
      </c>
    </row>
    <row r="69">
      <c r="A69" s="2" t="inlineStr">
        <is>
          <t>Суд над пиром</t>
        </is>
      </c>
      <c r="B69" s="2" t="inlineStr">
        <is>
          <t>Активный</t>
        </is>
      </c>
      <c r="C69" s="2" t="inlineStr">
        <is>
          <t>Пекло</t>
        </is>
      </c>
      <c r="D69" s="2" t="inlineStr">
        <is>
          <t>Чернобог</t>
        </is>
      </c>
      <c r="E69" s="2" t="inlineStr">
        <is>
          <t>Порча</t>
        </is>
      </c>
      <c r="F69" s="2" t="inlineStr">
        <is>
          <t>Саппорт</t>
        </is>
      </c>
      <c r="G69" s="2" t="inlineStr">
        <is>
          <t>чары</t>
        </is>
      </c>
      <c r="H69" s="2" t="inlineStr">
        <is>
          <t>аура</t>
        </is>
      </c>
      <c r="I69" s="2" t="inlineStr">
        <is>
          <t>B</t>
        </is>
      </c>
      <c r="J69" s="2">
        <f>INDEX(Константы!$G$18:$G$22,MATCH(I69,Константы!$A$18:$A$22,0))</f>
        <v/>
      </c>
      <c r="K69" s="2">
        <f>INDEX(Константы!$F$18:$F$22,MATCH(I69,Константы!$A$18:$A$22,0))</f>
        <v/>
      </c>
      <c r="L69" s="2">
        <f>INDEX(Константы!$C$18:$C$22,MATCH(I69,Константы!$A$18:$A$22,0))</f>
        <v/>
      </c>
      <c r="M69" s="2">
        <f>G69&amp;", "&amp;H69&amp;", "&amp;E69&amp;", "&amp;F69&amp;IF(I69="S",", Божий","")</f>
        <v/>
      </c>
      <c r="N69" s="6" t="n">
        <v>20</v>
      </c>
      <c r="O69" s="6" t="n">
        <v>20</v>
      </c>
      <c r="P69" s="6" t="n">
        <v>0</v>
      </c>
      <c r="Q69" s="6" t="n">
        <v>1</v>
      </c>
      <c r="R69" s="6" t="inlineStr">
        <is>
          <t>фикс</t>
        </is>
      </c>
      <c r="S69" s="6" t="n">
        <v>10</v>
      </c>
      <c r="T69" s="6" t="n">
        <v>0</v>
      </c>
      <c r="U69" s="6" t="n">
        <v>0</v>
      </c>
      <c r="V69" s="6" t="n">
        <v>10</v>
      </c>
      <c r="W69" s="6" t="n">
        <v>0</v>
      </c>
      <c r="X69" s="2">
        <f>Q69*IF(R69="оружие ближнее",P69*Константы!$B$3,IF(R69="оружие дальнее",P69*Константы!$B$4,P69))</f>
        <v/>
      </c>
      <c r="Y69" s="15">
        <f>INDEX(Константы!$D$18:$D$22,MATCH(I69,Константы!$A$18:$A$22,0))</f>
        <v/>
      </c>
      <c r="Z69" s="16">
        <f>X69*(1+Y69)</f>
        <v/>
      </c>
      <c r="AA69" s="16">
        <f>N69*(1-INDEX(Константы!$E$18:$E$22,MATCH(I69,Константы!$A$18:$A$22,0)))</f>
        <v/>
      </c>
      <c r="AB69" s="14">
        <f>IF(AA69&gt;0,Z69/AA69,0)</f>
        <v/>
      </c>
      <c r="AC69" s="16">
        <f>IF(O69&gt;0,Z69/O69,0)</f>
        <v/>
      </c>
      <c r="AD69" s="14">
        <f>IF(AA69&gt;0,AB69/Константы!$B$14,0)</f>
        <v/>
      </c>
      <c r="AE69" s="2">
        <f>IF(Z69=0,"без урона",IF(AD69&gt;Константы!$B$12,"перегиб",IF(AND(AA69&gt;0,AD69&lt;Константы!$B$13),"слабый","норма")))</f>
        <v/>
      </c>
      <c r="AF69" s="2" t="inlineStr">
        <is>
          <t>Аура 10 с: враги с 3+ «винами» получают +25% урона от всех союзников.</t>
        </is>
      </c>
      <c r="AG69" s="2" t="inlineStr">
        <is>
          <t>Длинный стол-тень, над ним нависают весы.</t>
        </is>
      </c>
      <c r="AH69" s="2">
        <f>"Flat game UI rune icon, 256x256, centered on a dark slate (#1E2230) square tile. An outer "&amp;INDEX(Руны!$C$27:$C$30,MATCH(G69,Руны!$A$27:$A$30,0))&amp;", thick carved "&amp;INDEX(Руны!$F$2:$F$10,MATCH(E69,Руны!$A$2:$A$10,0))&amp;" stroke"&amp;INDEX(Руны!$G$2:$G$10,MATCH(E69,Руны!$A$2:$A$10,0))&amp;" and a "&amp;INDEX(Руны!$I$2:$I$10,MATCH(E69,Руны!$A$2:$A$10,0))&amp;" around its outside. Inside: "&amp;INDEX(Руны!$C$14:$C$23,MATCH(H69,Руны!$A$14:$A$23,0))&amp;". Chiseled straight line ends, flat vector, no perspective, faint outer glow."</f>
        <v/>
      </c>
      <c r="AI69" s="2" t="inlineStr">
        <is>
          <t>[Д] черновик</t>
        </is>
      </c>
    </row>
    <row r="70">
      <c r="A70" s="2" t="inlineStr">
        <is>
          <t>Шаг в тень</t>
        </is>
      </c>
      <c r="B70" s="2" t="inlineStr">
        <is>
          <t>Активный</t>
        </is>
      </c>
      <c r="C70" s="2" t="inlineStr">
        <is>
          <t>Пекло</t>
        </is>
      </c>
      <c r="D70" s="2" t="inlineStr">
        <is>
          <t>Чернобог</t>
        </is>
      </c>
      <c r="E70" s="2" t="inlineStr">
        <is>
          <t>Порча</t>
        </is>
      </c>
      <c r="F70" s="2" t="inlineStr">
        <is>
          <t>Мобильность</t>
        </is>
      </c>
      <c r="G70" s="2" t="inlineStr">
        <is>
          <t>чары</t>
        </is>
      </c>
      <c r="H70" s="2" t="inlineStr">
        <is>
          <t>рывок</t>
        </is>
      </c>
      <c r="I70" s="2" t="inlineStr">
        <is>
          <t>D</t>
        </is>
      </c>
      <c r="J70" s="2">
        <f>INDEX(Константы!$G$18:$G$22,MATCH(I70,Константы!$A$18:$A$22,0))</f>
        <v/>
      </c>
      <c r="K70" s="2">
        <f>INDEX(Константы!$F$18:$F$22,MATCH(I70,Константы!$A$18:$A$22,0))</f>
        <v/>
      </c>
      <c r="L70" s="2">
        <f>INDEX(Константы!$C$18:$C$22,MATCH(I70,Константы!$A$18:$A$22,0))</f>
        <v/>
      </c>
      <c r="M70" s="2">
        <f>G70&amp;", "&amp;H70&amp;", "&amp;E70&amp;", "&amp;F70&amp;IF(I70="S",", Божий","")</f>
        <v/>
      </c>
      <c r="N70" s="6" t="n">
        <v>20</v>
      </c>
      <c r="O70" s="6" t="n">
        <v>6</v>
      </c>
      <c r="P70" s="6" t="n">
        <v>0</v>
      </c>
      <c r="Q70" s="6" t="n">
        <v>1</v>
      </c>
      <c r="R70" s="6" t="inlineStr">
        <is>
          <t>фикс</t>
        </is>
      </c>
      <c r="S70" s="6" t="n">
        <v>0</v>
      </c>
      <c r="T70" s="6" t="n">
        <v>7</v>
      </c>
      <c r="U70" s="6" t="n">
        <v>0</v>
      </c>
      <c r="V70" s="6" t="n">
        <v>0</v>
      </c>
      <c r="W70" s="6" t="n">
        <v>0</v>
      </c>
      <c r="X70" s="2">
        <f>Q70*IF(R70="оружие ближнее",P70*Константы!$B$3,IF(R70="оружие дальнее",P70*Константы!$B$4,P70))</f>
        <v/>
      </c>
      <c r="Y70" s="15">
        <f>INDEX(Константы!$D$18:$D$22,MATCH(I70,Константы!$A$18:$A$22,0))</f>
        <v/>
      </c>
      <c r="Z70" s="16">
        <f>X70*(1+Y70)</f>
        <v/>
      </c>
      <c r="AA70" s="16">
        <f>N70*(1-INDEX(Константы!$E$18:$E$22,MATCH(I70,Константы!$A$18:$A$22,0)))</f>
        <v/>
      </c>
      <c r="AB70" s="14">
        <f>IF(AA70&gt;0,Z70/AA70,0)</f>
        <v/>
      </c>
      <c r="AC70" s="16">
        <f>IF(O70&gt;0,Z70/O70,0)</f>
        <v/>
      </c>
      <c r="AD70" s="14">
        <f>IF(AA70&gt;0,AB70/Константы!$B$14,0)</f>
        <v/>
      </c>
      <c r="AE70" s="2">
        <f>IF(Z70=0,"без урона",IF(AD70&gt;Константы!$B$12,"перегиб",IF(AND(AA70&gt;0,AD70&lt;Константы!$B$13),"слабый","норма")))</f>
        <v/>
      </c>
      <c r="AF70" s="2" t="inlineStr">
        <is>
          <t>Уходит в тень на 7 м; 0,3 с неуязвимости; следующая атака +1 «вина».</t>
        </is>
      </c>
      <c r="AG70" s="2" t="inlineStr">
        <is>
          <t>Силуэт растворяется в чёрном пятне на земле.</t>
        </is>
      </c>
      <c r="AH70" s="2">
        <f>"Flat game UI rune icon, 256x256, centered on a dark slate (#1E2230) square tile. An outer "&amp;INDEX(Руны!$C$27:$C$30,MATCH(G70,Руны!$A$27:$A$30,0))&amp;", thick carved "&amp;INDEX(Руны!$F$2:$F$10,MATCH(E70,Руны!$A$2:$A$10,0))&amp;" stroke"&amp;INDEX(Руны!$G$2:$G$10,MATCH(E70,Руны!$A$2:$A$10,0))&amp;" and a "&amp;INDEX(Руны!$I$2:$I$10,MATCH(E70,Руны!$A$2:$A$10,0))&amp;" around its outside. Inside: "&amp;INDEX(Руны!$C$14:$C$23,MATCH(H70,Руны!$A$14:$A$23,0))&amp;". Chiseled straight line ends, flat vector, no perspective, faint outer glow."</f>
        <v/>
      </c>
      <c r="AI70" s="2" t="inlineStr">
        <is>
          <t>[Д] черновик</t>
        </is>
      </c>
    </row>
    <row r="71">
      <c r="A71" s="2" t="inlineStr">
        <is>
          <t>Ночь без меры</t>
        </is>
      </c>
      <c r="B71" s="2" t="inlineStr">
        <is>
          <t>Активный</t>
        </is>
      </c>
      <c r="C71" s="2" t="inlineStr">
        <is>
          <t>Пекло</t>
        </is>
      </c>
      <c r="D71" s="2" t="inlineStr">
        <is>
          <t>Чернобог</t>
        </is>
      </c>
      <c r="E71" s="2" t="inlineStr">
        <is>
          <t>Порча</t>
        </is>
      </c>
      <c r="F71" s="2" t="inlineStr">
        <is>
          <t>Мобильность</t>
        </is>
      </c>
      <c r="G71" s="2" t="inlineStr">
        <is>
          <t>чары</t>
        </is>
      </c>
      <c r="H71" s="2" t="inlineStr">
        <is>
          <t>рывок</t>
        </is>
      </c>
      <c r="I71" s="2" t="inlineStr">
        <is>
          <t>S</t>
        </is>
      </c>
      <c r="J71" s="2">
        <f>INDEX(Константы!$G$18:$G$22,MATCH(I71,Константы!$A$18:$A$22,0))</f>
        <v/>
      </c>
      <c r="K71" s="2">
        <f>INDEX(Константы!$F$18:$F$22,MATCH(I71,Константы!$A$18:$A$22,0))</f>
        <v/>
      </c>
      <c r="L71" s="2">
        <f>INDEX(Константы!$C$18:$C$22,MATCH(I71,Константы!$A$18:$A$22,0))</f>
        <v/>
      </c>
      <c r="M71" s="2">
        <f>G71&amp;", "&amp;H71&amp;", "&amp;E71&amp;", "&amp;F71&amp;IF(I71="S",", Божий","")</f>
        <v/>
      </c>
      <c r="N71" s="6" t="n">
        <v>35</v>
      </c>
      <c r="O71" s="6" t="n">
        <v>30</v>
      </c>
      <c r="P71" s="6" t="n">
        <v>50</v>
      </c>
      <c r="Q71" s="6" t="n">
        <v>1</v>
      </c>
      <c r="R71" s="6" t="inlineStr">
        <is>
          <t>фикс</t>
        </is>
      </c>
      <c r="S71" s="6" t="n">
        <v>15</v>
      </c>
      <c r="T71" s="6" t="n">
        <v>0</v>
      </c>
      <c r="U71" s="6" t="n">
        <v>0</v>
      </c>
      <c r="V71" s="6" t="n">
        <v>6</v>
      </c>
      <c r="W71" s="6" t="n">
        <v>0</v>
      </c>
      <c r="X71" s="2">
        <f>Q71*IF(R71="оружие ближнее",P71*Константы!$B$3,IF(R71="оружие дальнее",P71*Константы!$B$4,P71))</f>
        <v/>
      </c>
      <c r="Y71" s="15">
        <f>INDEX(Константы!$D$18:$D$22,MATCH(I71,Константы!$A$18:$A$22,0))</f>
        <v/>
      </c>
      <c r="Z71" s="16">
        <f>X71*(1+Y71)</f>
        <v/>
      </c>
      <c r="AA71" s="16">
        <f>N71*(1-INDEX(Константы!$E$18:$E$22,MATCH(I71,Константы!$A$18:$A$22,0)))</f>
        <v/>
      </c>
      <c r="AB71" s="14">
        <f>IF(AA71&gt;0,Z71/AA71,0)</f>
        <v/>
      </c>
      <c r="AC71" s="16">
        <f>IF(O71&gt;0,Z71/O71,0)</f>
        <v/>
      </c>
      <c r="AD71" s="14">
        <f>IF(AA71&gt;0,AB71/Константы!$B$14,0)</f>
        <v/>
      </c>
      <c r="AE71" s="2">
        <f>IF(Z71=0,"без урона",IF(AD71&gt;Константы!$B$12,"перегиб",IF(AND(AA71&gt;0,AD71&lt;Константы!$B$13),"слабый","норма")))</f>
        <v/>
      </c>
      <c r="AF71" s="2" t="inlineStr">
        <is>
          <t>6 с ночи: рывки без отката, каждый проход сквозь врага +2 «вины».</t>
        </is>
      </c>
      <c r="AG71" s="2" t="inlineStr">
        <is>
          <t>Мир погас до чёрно-оливкового, герой — только контур.</t>
        </is>
      </c>
      <c r="AH71" s="2">
        <f>"Flat game UI rune icon, 256x256, centered on a dark slate (#1E2230) square tile. An outer "&amp;INDEX(Руны!$C$27:$C$30,MATCH(G71,Руны!$A$27:$A$30,0))&amp;", thick carved "&amp;INDEX(Руны!$F$2:$F$10,MATCH(E71,Руны!$A$2:$A$10,0))&amp;" stroke"&amp;INDEX(Руны!$G$2:$G$10,MATCH(E71,Руны!$A$2:$A$10,0))&amp;" and a "&amp;INDEX(Руны!$I$2:$I$10,MATCH(E71,Руны!$A$2:$A$10,0))&amp;" around its outside. Inside: "&amp;INDEX(Руны!$C$14:$C$23,MATCH(H71,Руны!$A$14:$A$23,0))&amp;". Chiseled straight line ends, flat vector, no perspective, faint outer glow."</f>
        <v/>
      </c>
      <c r="AI71" s="2" t="inlineStr">
        <is>
          <t>[Д] черновик</t>
        </is>
      </c>
    </row>
    <row r="72">
      <c r="A72" s="2" t="inlineStr">
        <is>
          <t>Жар полудня</t>
        </is>
      </c>
      <c r="B72" s="2" t="inlineStr">
        <is>
          <t>Активный</t>
        </is>
      </c>
      <c r="C72" s="2" t="inlineStr">
        <is>
          <t>Степь</t>
        </is>
      </c>
      <c r="D72" s="2" t="inlineStr">
        <is>
          <t>Дажьбог</t>
        </is>
      </c>
      <c r="E72" s="2" t="inlineStr">
        <is>
          <t>Солнце</t>
        </is>
      </c>
      <c r="F72" s="2" t="inlineStr">
        <is>
          <t>Мили-ДД</t>
        </is>
      </c>
      <c r="G72" s="2" t="inlineStr">
        <is>
          <t>удар</t>
        </is>
      </c>
      <c r="H72" s="2" t="inlineStr">
        <is>
          <t>площадь</t>
        </is>
      </c>
      <c r="I72" s="2" t="inlineStr">
        <is>
          <t>D</t>
        </is>
      </c>
      <c r="J72" s="2">
        <f>INDEX(Константы!$G$18:$G$22,MATCH(I72,Константы!$A$18:$A$22,0))</f>
        <v/>
      </c>
      <c r="K72" s="2">
        <f>INDEX(Константы!$F$18:$F$22,MATCH(I72,Константы!$A$18:$A$22,0))</f>
        <v/>
      </c>
      <c r="L72" s="2">
        <f>INDEX(Константы!$C$18:$C$22,MATCH(I72,Константы!$A$18:$A$22,0))</f>
        <v/>
      </c>
      <c r="M72" s="2">
        <f>G72&amp;", "&amp;H72&amp;", "&amp;E72&amp;", "&amp;F72&amp;IF(I72="S",", Божий","")</f>
        <v/>
      </c>
      <c r="N72" s="6" t="n">
        <v>20</v>
      </c>
      <c r="O72" s="6" t="n">
        <v>4</v>
      </c>
      <c r="P72" s="6" t="n">
        <v>1.7</v>
      </c>
      <c r="Q72" s="6" t="n">
        <v>1</v>
      </c>
      <c r="R72" s="6" t="inlineStr">
        <is>
          <t>оружие ближнее</t>
        </is>
      </c>
      <c r="S72" s="6" t="n">
        <v>3</v>
      </c>
      <c r="T72" s="6" t="n">
        <v>0</v>
      </c>
      <c r="U72" s="6" t="n">
        <v>0</v>
      </c>
      <c r="V72" s="6" t="n">
        <v>0</v>
      </c>
      <c r="W72" s="6" t="n">
        <v>0</v>
      </c>
      <c r="X72" s="2">
        <f>Q72*IF(R72="оружие ближнее",P72*Константы!$B$3,IF(R72="оружие дальнее",P72*Константы!$B$4,P72))</f>
        <v/>
      </c>
      <c r="Y72" s="15">
        <f>INDEX(Константы!$D$18:$D$22,MATCH(I72,Константы!$A$18:$A$22,0))</f>
        <v/>
      </c>
      <c r="Z72" s="16">
        <f>X72*(1+Y72)</f>
        <v/>
      </c>
      <c r="AA72" s="16">
        <f>N72*(1-INDEX(Константы!$E$18:$E$22,MATCH(I72,Константы!$A$18:$A$22,0)))</f>
        <v/>
      </c>
      <c r="AB72" s="14">
        <f>IF(AA72&gt;0,Z72/AA72,0)</f>
        <v/>
      </c>
      <c r="AC72" s="16">
        <f>IF(O72&gt;0,Z72/O72,0)</f>
        <v/>
      </c>
      <c r="AD72" s="14">
        <f>IF(AA72&gt;0,AB72/Константы!$B$14,0)</f>
        <v/>
      </c>
      <c r="AE72" s="2">
        <f>IF(Z72=0,"без урона",IF(AD72&gt;Константы!$B$12,"перегиб",IF(AND(AA72&gt;0,AD72&lt;Константы!$B$13),"слабый","норма")))</f>
        <v/>
      </c>
      <c r="AF72" s="2" t="inlineStr">
        <is>
          <t>Удар оружием с солнечной вспышкой; союзник рядом получает +5 Ярь.</t>
        </is>
      </c>
      <c r="AG72" s="2" t="inlineStr">
        <is>
          <t>Клинок в золотой вспышке, тень под героем исчезает.</t>
        </is>
      </c>
      <c r="AH72" s="2">
        <f>"Flat game UI rune icon, 256x256, centered on a dark slate (#1E2230) square tile. An outer "&amp;INDEX(Руны!$C$27:$C$30,MATCH(G72,Руны!$A$27:$A$30,0))&amp;", thick carved "&amp;INDEX(Руны!$F$2:$F$10,MATCH(E72,Руны!$A$2:$A$10,0))&amp;" stroke"&amp;INDEX(Руны!$G$2:$G$10,MATCH(E72,Руны!$A$2:$A$10,0))&amp;" and a "&amp;INDEX(Руны!$I$2:$I$10,MATCH(E72,Руны!$A$2:$A$10,0))&amp;" around its outside. Inside: "&amp;INDEX(Руны!$C$14:$C$23,MATCH(H72,Руны!$A$14:$A$23,0))&amp;". Chiseled straight line ends, flat vector, no perspective, faint outer glow."</f>
        <v/>
      </c>
      <c r="AI72" s="2" t="inlineStr">
        <is>
          <t>[Д] черновик</t>
        </is>
      </c>
    </row>
    <row r="73">
      <c r="A73" s="2" t="inlineStr">
        <is>
          <t>Щит-солнце</t>
        </is>
      </c>
      <c r="B73" s="2" t="inlineStr">
        <is>
          <t>Активный</t>
        </is>
      </c>
      <c r="C73" s="2" t="inlineStr">
        <is>
          <t>Степь</t>
        </is>
      </c>
      <c r="D73" s="2" t="inlineStr">
        <is>
          <t>Дажьбог</t>
        </is>
      </c>
      <c r="E73" s="2" t="inlineStr">
        <is>
          <t>Солнце</t>
        </is>
      </c>
      <c r="F73" s="2" t="inlineStr">
        <is>
          <t>Мили-ДД</t>
        </is>
      </c>
      <c r="G73" s="2" t="inlineStr">
        <is>
          <t>удар</t>
        </is>
      </c>
      <c r="H73" s="2" t="inlineStr">
        <is>
          <t>обездвиживание</t>
        </is>
      </c>
      <c r="I73" s="2" t="inlineStr">
        <is>
          <t>C</t>
        </is>
      </c>
      <c r="J73" s="2">
        <f>INDEX(Константы!$G$18:$G$22,MATCH(I73,Константы!$A$18:$A$22,0))</f>
        <v/>
      </c>
      <c r="K73" s="2">
        <f>INDEX(Константы!$F$18:$F$22,MATCH(I73,Константы!$A$18:$A$22,0))</f>
        <v/>
      </c>
      <c r="L73" s="2">
        <f>INDEX(Константы!$C$18:$C$22,MATCH(I73,Константы!$A$18:$A$22,0))</f>
        <v/>
      </c>
      <c r="M73" s="2">
        <f>G73&amp;", "&amp;H73&amp;", "&amp;E73&amp;", "&amp;F73&amp;IF(I73="S",", Божий","")</f>
        <v/>
      </c>
      <c r="N73" s="6" t="n">
        <v>25</v>
      </c>
      <c r="O73" s="6" t="n">
        <v>9</v>
      </c>
      <c r="P73" s="6" t="n">
        <v>1.8</v>
      </c>
      <c r="Q73" s="6" t="n">
        <v>1</v>
      </c>
      <c r="R73" s="6" t="inlineStr">
        <is>
          <t>оружие ближнее</t>
        </is>
      </c>
      <c r="S73" s="6" t="n">
        <v>4</v>
      </c>
      <c r="T73" s="6" t="n">
        <v>0</v>
      </c>
      <c r="U73" s="6" t="n">
        <v>0</v>
      </c>
      <c r="V73" s="6" t="n">
        <v>0</v>
      </c>
      <c r="W73" s="6" t="n">
        <v>1</v>
      </c>
      <c r="X73" s="2">
        <f>Q73*IF(R73="оружие ближнее",P73*Константы!$B$3,IF(R73="оружие дальнее",P73*Константы!$B$4,P73))</f>
        <v/>
      </c>
      <c r="Y73" s="15">
        <f>INDEX(Константы!$D$18:$D$22,MATCH(I73,Константы!$A$18:$A$22,0))</f>
        <v/>
      </c>
      <c r="Z73" s="16">
        <f>X73*(1+Y73)</f>
        <v/>
      </c>
      <c r="AA73" s="16">
        <f>N73*(1-INDEX(Константы!$E$18:$E$22,MATCH(I73,Константы!$A$18:$A$22,0)))</f>
        <v/>
      </c>
      <c r="AB73" s="14">
        <f>IF(AA73&gt;0,Z73/AA73,0)</f>
        <v/>
      </c>
      <c r="AC73" s="16">
        <f>IF(O73&gt;0,Z73/O73,0)</f>
        <v/>
      </c>
      <c r="AD73" s="14">
        <f>IF(AA73&gt;0,AB73/Константы!$B$14,0)</f>
        <v/>
      </c>
      <c r="AE73" s="2">
        <f>IF(Z73=0,"без урона",IF(AD73&gt;Константы!$B$12,"перегиб",IF(AND(AA73&gt;0,AD73&lt;Константы!$B$13),"слабый","норма")))</f>
        <v/>
      </c>
      <c r="AF73" s="2" t="inlineStr">
        <is>
          <t>Удар круглым отблеском: враги перед героем ослеплены на 1 с.</t>
        </is>
      </c>
      <c r="AG73" s="2" t="inlineStr">
        <is>
          <t>Круглый солнечный отблеск бьёт врагам в глаза.</t>
        </is>
      </c>
      <c r="AH73" s="2">
        <f>"Flat game UI rune icon, 256x256, centered on a dark slate (#1E2230) square tile. An outer "&amp;INDEX(Руны!$C$27:$C$30,MATCH(G73,Руны!$A$27:$A$30,0))&amp;", thick carved "&amp;INDEX(Руны!$F$2:$F$10,MATCH(E73,Руны!$A$2:$A$10,0))&amp;" stroke"&amp;INDEX(Руны!$G$2:$G$10,MATCH(E73,Руны!$A$2:$A$10,0))&amp;" and a "&amp;INDEX(Руны!$I$2:$I$10,MATCH(E73,Руны!$A$2:$A$10,0))&amp;" around its outside. Inside: "&amp;INDEX(Руны!$C$14:$C$23,MATCH(H73,Руны!$A$14:$A$23,0))&amp;". Chiseled straight line ends, flat vector, no perspective, faint outer glow."</f>
        <v/>
      </c>
      <c r="AI73" s="2" t="inlineStr">
        <is>
          <t>[Д] черновик</t>
        </is>
      </c>
    </row>
    <row r="74">
      <c r="A74" s="2" t="inlineStr">
        <is>
          <t>Полуденный луч</t>
        </is>
      </c>
      <c r="B74" s="2" t="inlineStr">
        <is>
          <t>Активный</t>
        </is>
      </c>
      <c r="C74" s="2" t="inlineStr">
        <is>
          <t>Степь</t>
        </is>
      </c>
      <c r="D74" s="2" t="inlineStr">
        <is>
          <t>Дажьбог</t>
        </is>
      </c>
      <c r="E74" s="2" t="inlineStr">
        <is>
          <t>Солнце</t>
        </is>
      </c>
      <c r="F74" s="2" t="inlineStr">
        <is>
          <t>Ренж-ДД</t>
        </is>
      </c>
      <c r="G74" s="2" t="inlineStr">
        <is>
          <t>выстрел</t>
        </is>
      </c>
      <c r="H74" s="2" t="inlineStr">
        <is>
          <t>снаряд</t>
        </is>
      </c>
      <c r="I74" s="2" t="inlineStr">
        <is>
          <t>D</t>
        </is>
      </c>
      <c r="J74" s="2">
        <f>INDEX(Константы!$G$18:$G$22,MATCH(I74,Константы!$A$18:$A$22,0))</f>
        <v/>
      </c>
      <c r="K74" s="2">
        <f>INDEX(Константы!$F$18:$F$22,MATCH(I74,Константы!$A$18:$A$22,0))</f>
        <v/>
      </c>
      <c r="L74" s="2">
        <f>INDEX(Константы!$C$18:$C$22,MATCH(I74,Константы!$A$18:$A$22,0))</f>
        <v/>
      </c>
      <c r="M74" s="2">
        <f>G74&amp;", "&amp;H74&amp;", "&amp;E74&amp;", "&amp;F74&amp;IF(I74="S",", Божий","")</f>
        <v/>
      </c>
      <c r="N74" s="6" t="n">
        <v>10</v>
      </c>
      <c r="O74" s="6" t="n">
        <v>2</v>
      </c>
      <c r="P74" s="6" t="n">
        <v>1.2</v>
      </c>
      <c r="Q74" s="6" t="n">
        <v>1</v>
      </c>
      <c r="R74" s="6" t="inlineStr">
        <is>
          <t>оружие дальнее</t>
        </is>
      </c>
      <c r="S74" s="6" t="n">
        <v>0</v>
      </c>
      <c r="T74" s="6" t="n">
        <v>40</v>
      </c>
      <c r="U74" s="6" t="n">
        <v>0</v>
      </c>
      <c r="V74" s="6" t="n">
        <v>0</v>
      </c>
      <c r="W74" s="6" t="n">
        <v>0</v>
      </c>
      <c r="X74" s="2">
        <f>Q74*IF(R74="оружие ближнее",P74*Константы!$B$3,IF(R74="оружие дальнее",P74*Константы!$B$4,P74))</f>
        <v/>
      </c>
      <c r="Y74" s="15">
        <f>INDEX(Константы!$D$18:$D$22,MATCH(I74,Константы!$A$18:$A$22,0))</f>
        <v/>
      </c>
      <c r="Z74" s="16">
        <f>X74*(1+Y74)</f>
        <v/>
      </c>
      <c r="AA74" s="16">
        <f>N74*(1-INDEX(Константы!$E$18:$E$22,MATCH(I74,Константы!$A$18:$A$22,0)))</f>
        <v/>
      </c>
      <c r="AB74" s="14">
        <f>IF(AA74&gt;0,Z74/AA74,0)</f>
        <v/>
      </c>
      <c r="AC74" s="16">
        <f>IF(O74&gt;0,Z74/O74,0)</f>
        <v/>
      </c>
      <c r="AD74" s="14">
        <f>IF(AA74&gt;0,AB74/Константы!$B$14,0)</f>
        <v/>
      </c>
      <c r="AE74" s="2">
        <f>IF(Z74=0,"без урона",IF(AD74&gt;Константы!$B$12,"перегиб",IF(AND(AA74&gt;0,AD74&lt;Константы!$B$13),"слабый","норма")))</f>
        <v/>
      </c>
      <c r="AF74" s="2" t="inlineStr">
        <is>
          <t>Прямой луч; пробивает союзника насквозь и отдаёт ему 5 Ярь.</t>
        </is>
      </c>
      <c r="AG74" s="2" t="inlineStr">
        <is>
          <t>Тонкий янтарный луч через всю равнину.</t>
        </is>
      </c>
      <c r="AH74" s="2">
        <f>"Flat game UI rune icon, 256x256, centered on a dark slate (#1E2230) square tile. An outer "&amp;INDEX(Руны!$C$27:$C$30,MATCH(G74,Руны!$A$27:$A$30,0))&amp;", thick carved "&amp;INDEX(Руны!$F$2:$F$10,MATCH(E74,Руны!$A$2:$A$10,0))&amp;" stroke"&amp;INDEX(Руны!$G$2:$G$10,MATCH(E74,Руны!$A$2:$A$10,0))&amp;" and a "&amp;INDEX(Руны!$I$2:$I$10,MATCH(E74,Руны!$A$2:$A$10,0))&amp;" around its outside. Inside: "&amp;INDEX(Руны!$C$14:$C$23,MATCH(H74,Руны!$A$14:$A$23,0))&amp;". Chiseled straight line ends, flat vector, no perspective, faint outer glow."</f>
        <v/>
      </c>
      <c r="AI74" s="2" t="inlineStr">
        <is>
          <t>[Д] черновик</t>
        </is>
      </c>
    </row>
    <row r="75">
      <c r="A75" s="2" t="inlineStr">
        <is>
          <t>Незакатный взор</t>
        </is>
      </c>
      <c r="B75" s="2" t="inlineStr">
        <is>
          <t>Активный</t>
        </is>
      </c>
      <c r="C75" s="2" t="inlineStr">
        <is>
          <t>Степь</t>
        </is>
      </c>
      <c r="D75" s="2" t="inlineStr">
        <is>
          <t>Дажьбог</t>
        </is>
      </c>
      <c r="E75" s="2" t="inlineStr">
        <is>
          <t>Солнце</t>
        </is>
      </c>
      <c r="F75" s="2" t="inlineStr">
        <is>
          <t>Ренж-ДД</t>
        </is>
      </c>
      <c r="G75" s="2" t="inlineStr">
        <is>
          <t>чары</t>
        </is>
      </c>
      <c r="H75" s="2" t="inlineStr">
        <is>
          <t>цепь</t>
        </is>
      </c>
      <c r="I75" s="2" t="inlineStr">
        <is>
          <t>S</t>
        </is>
      </c>
      <c r="J75" s="2">
        <f>INDEX(Константы!$G$18:$G$22,MATCH(I75,Константы!$A$18:$A$22,0))</f>
        <v/>
      </c>
      <c r="K75" s="2">
        <f>INDEX(Константы!$F$18:$F$22,MATCH(I75,Константы!$A$18:$A$22,0))</f>
        <v/>
      </c>
      <c r="L75" s="2">
        <f>INDEX(Константы!$C$18:$C$22,MATCH(I75,Константы!$A$18:$A$22,0))</f>
        <v/>
      </c>
      <c r="M75" s="2">
        <f>G75&amp;", "&amp;H75&amp;", "&amp;E75&amp;", "&amp;F75&amp;IF(I75="S",", Божий","")</f>
        <v/>
      </c>
      <c r="N75" s="6" t="n">
        <v>35</v>
      </c>
      <c r="O75" s="6" t="n">
        <v>25</v>
      </c>
      <c r="P75" s="6" t="n">
        <v>40</v>
      </c>
      <c r="Q75" s="6" t="n">
        <v>1</v>
      </c>
      <c r="R75" s="6" t="inlineStr">
        <is>
          <t>фикс</t>
        </is>
      </c>
      <c r="S75" s="6" t="n">
        <v>0</v>
      </c>
      <c r="T75" s="6" t="n">
        <v>30</v>
      </c>
      <c r="U75" s="6" t="n">
        <v>0</v>
      </c>
      <c r="V75" s="6" t="n">
        <v>5</v>
      </c>
      <c r="W75" s="6" t="n">
        <v>0</v>
      </c>
      <c r="X75" s="2">
        <f>Q75*IF(R75="оружие ближнее",P75*Константы!$B$3,IF(R75="оружие дальнее",P75*Константы!$B$4,P75))</f>
        <v/>
      </c>
      <c r="Y75" s="15">
        <f>INDEX(Константы!$D$18:$D$22,MATCH(I75,Константы!$A$18:$A$22,0))</f>
        <v/>
      </c>
      <c r="Z75" s="16">
        <f>X75*(1+Y75)</f>
        <v/>
      </c>
      <c r="AA75" s="16">
        <f>N75*(1-INDEX(Константы!$E$18:$E$22,MATCH(I75,Константы!$A$18:$A$22,0)))</f>
        <v/>
      </c>
      <c r="AB75" s="14">
        <f>IF(AA75&gt;0,Z75/AA75,0)</f>
        <v/>
      </c>
      <c r="AC75" s="16">
        <f>IF(O75&gt;0,Z75/O75,0)</f>
        <v/>
      </c>
      <c r="AD75" s="14">
        <f>IF(AA75&gt;0,AB75/Константы!$B$14,0)</f>
        <v/>
      </c>
      <c r="AE75" s="2">
        <f>IF(Z75=0,"без урона",IF(AD75&gt;Константы!$B$12,"перегиб",IF(AND(AA75&gt;0,AD75&lt;Константы!$B$13),"слабый","норма")))</f>
        <v/>
      </c>
      <c r="AF75" s="2" t="inlineStr">
        <is>
          <t>5 с: луч ведёт героя, перескакивает на новые цели, каждый переход сильнее на 10%.</t>
        </is>
      </c>
      <c r="AG75" s="2" t="inlineStr">
        <is>
          <t>Огромное низкое солнце, от него луч прыгает по врагам.</t>
        </is>
      </c>
      <c r="AH75" s="2">
        <f>"Flat game UI rune icon, 256x256, centered on a dark slate (#1E2230) square tile. An outer "&amp;INDEX(Руны!$C$27:$C$30,MATCH(G75,Руны!$A$27:$A$30,0))&amp;", thick carved "&amp;INDEX(Руны!$F$2:$F$10,MATCH(E75,Руны!$A$2:$A$10,0))&amp;" stroke"&amp;INDEX(Руны!$G$2:$G$10,MATCH(E75,Руны!$A$2:$A$10,0))&amp;" and a "&amp;INDEX(Руны!$I$2:$I$10,MATCH(E75,Руны!$A$2:$A$10,0))&amp;" around its outside. Inside: "&amp;INDEX(Руны!$C$14:$C$23,MATCH(H75,Руны!$A$14:$A$23,0))&amp;". Chiseled straight line ends, flat vector, no perspective, faint outer glow."</f>
        <v/>
      </c>
      <c r="AI75" s="2" t="inlineStr">
        <is>
          <t>[Д] черновик</t>
        </is>
      </c>
    </row>
    <row r="76">
      <c r="A76" s="2" t="inlineStr">
        <is>
          <t>Каменная баба</t>
        </is>
      </c>
      <c r="B76" s="2" t="inlineStr">
        <is>
          <t>Активный</t>
        </is>
      </c>
      <c r="C76" s="2" t="inlineStr">
        <is>
          <t>Степь</t>
        </is>
      </c>
      <c r="D76" s="2" t="inlineStr">
        <is>
          <t>Дажьбог</t>
        </is>
      </c>
      <c r="E76" s="2" t="inlineStr">
        <is>
          <t>Солнце</t>
        </is>
      </c>
      <c r="F76" s="2" t="inlineStr">
        <is>
          <t>Танк</t>
        </is>
      </c>
      <c r="G76" s="2" t="inlineStr">
        <is>
          <t>чары</t>
        </is>
      </c>
      <c r="H76" s="2" t="inlineStr">
        <is>
          <t>щит</t>
        </is>
      </c>
      <c r="I76" s="2" t="inlineStr">
        <is>
          <t>D</t>
        </is>
      </c>
      <c r="J76" s="2">
        <f>INDEX(Константы!$G$18:$G$22,MATCH(I76,Константы!$A$18:$A$22,0))</f>
        <v/>
      </c>
      <c r="K76" s="2">
        <f>INDEX(Константы!$F$18:$F$22,MATCH(I76,Константы!$A$18:$A$22,0))</f>
        <v/>
      </c>
      <c r="L76" s="2">
        <f>INDEX(Константы!$C$18:$C$22,MATCH(I76,Константы!$A$18:$A$22,0))</f>
        <v/>
      </c>
      <c r="M76" s="2">
        <f>G76&amp;", "&amp;H76&amp;", "&amp;E76&amp;", "&amp;F76&amp;IF(I76="S",", Божий","")</f>
        <v/>
      </c>
      <c r="N76" s="6" t="n">
        <v>25</v>
      </c>
      <c r="O76" s="6" t="n">
        <v>16</v>
      </c>
      <c r="P76" s="6" t="n">
        <v>0</v>
      </c>
      <c r="Q76" s="6" t="n">
        <v>1</v>
      </c>
      <c r="R76" s="6" t="inlineStr">
        <is>
          <t>фикс</t>
        </is>
      </c>
      <c r="S76" s="6" t="n">
        <v>0</v>
      </c>
      <c r="T76" s="6" t="n">
        <v>5</v>
      </c>
      <c r="U76" s="6" t="n">
        <v>0</v>
      </c>
      <c r="V76" s="6" t="n">
        <v>8</v>
      </c>
      <c r="W76" s="6" t="n">
        <v>0</v>
      </c>
      <c r="X76" s="2">
        <f>Q76*IF(R76="оружие ближнее",P76*Константы!$B$3,IF(R76="оружие дальнее",P76*Константы!$B$4,P76))</f>
        <v/>
      </c>
      <c r="Y76" s="15">
        <f>INDEX(Константы!$D$18:$D$22,MATCH(I76,Константы!$A$18:$A$22,0))</f>
        <v/>
      </c>
      <c r="Z76" s="16">
        <f>X76*(1+Y76)</f>
        <v/>
      </c>
      <c r="AA76" s="16">
        <f>N76*(1-INDEX(Константы!$E$18:$E$22,MATCH(I76,Константы!$A$18:$A$22,0)))</f>
        <v/>
      </c>
      <c r="AB76" s="14">
        <f>IF(AA76&gt;0,Z76/AA76,0)</f>
        <v/>
      </c>
      <c r="AC76" s="16">
        <f>IF(O76&gt;0,Z76/O76,0)</f>
        <v/>
      </c>
      <c r="AD76" s="14">
        <f>IF(AA76&gt;0,AB76/Константы!$B$14,0)</f>
        <v/>
      </c>
      <c r="AE76" s="2">
        <f>IF(Z76=0,"без урона",IF(AD76&gt;Константы!$B$12,"перегиб",IF(AND(AA76&gt;0,AD76&lt;Константы!$B$13),"слабый","норма")))</f>
        <v/>
      </c>
      <c r="AF76" s="2" t="inlineStr">
        <is>
          <t>Ставит каменного идола на 8 с: укрытие, поглощает снаряды.</t>
        </is>
      </c>
      <c r="AG76" s="2" t="inlineStr">
        <is>
          <t>Грубая каменная фигура с ладонями на животе, степь вокруг.</t>
        </is>
      </c>
      <c r="AH76" s="2">
        <f>"Flat game UI rune icon, 256x256, centered on a dark slate (#1E2230) square tile. An outer "&amp;INDEX(Руны!$C$27:$C$30,MATCH(G76,Руны!$A$27:$A$30,0))&amp;", thick carved "&amp;INDEX(Руны!$F$2:$F$10,MATCH(E76,Руны!$A$2:$A$10,0))&amp;" stroke"&amp;INDEX(Руны!$G$2:$G$10,MATCH(E76,Руны!$A$2:$A$10,0))&amp;" and a "&amp;INDEX(Руны!$I$2:$I$10,MATCH(E76,Руны!$A$2:$A$10,0))&amp;" around its outside. Inside: "&amp;INDEX(Руны!$C$14:$C$23,MATCH(H76,Руны!$A$14:$A$23,0))&amp;". Chiseled straight line ends, flat vector, no perspective, faint outer glow."</f>
        <v/>
      </c>
      <c r="AI76" s="2" t="inlineStr">
        <is>
          <t>[Д] черновик</t>
        </is>
      </c>
    </row>
    <row r="77">
      <c r="A77" s="2" t="inlineStr">
        <is>
          <t>Длань дающего</t>
        </is>
      </c>
      <c r="B77" s="2" t="inlineStr">
        <is>
          <t>Активный</t>
        </is>
      </c>
      <c r="C77" s="2" t="inlineStr">
        <is>
          <t>Степь</t>
        </is>
      </c>
      <c r="D77" s="2" t="inlineStr">
        <is>
          <t>Дажьбог</t>
        </is>
      </c>
      <c r="E77" s="2" t="inlineStr">
        <is>
          <t>Солнце</t>
        </is>
      </c>
      <c r="F77" s="2" t="inlineStr">
        <is>
          <t>Танк</t>
        </is>
      </c>
      <c r="G77" s="2" t="inlineStr">
        <is>
          <t>чары</t>
        </is>
      </c>
      <c r="H77" s="2" t="inlineStr">
        <is>
          <t>щит</t>
        </is>
      </c>
      <c r="I77" s="2" t="inlineStr">
        <is>
          <t>B</t>
        </is>
      </c>
      <c r="J77" s="2">
        <f>INDEX(Константы!$G$18:$G$22,MATCH(I77,Константы!$A$18:$A$22,0))</f>
        <v/>
      </c>
      <c r="K77" s="2">
        <f>INDEX(Константы!$F$18:$F$22,MATCH(I77,Константы!$A$18:$A$22,0))</f>
        <v/>
      </c>
      <c r="L77" s="2">
        <f>INDEX(Константы!$C$18:$C$22,MATCH(I77,Константы!$A$18:$A$22,0))</f>
        <v/>
      </c>
      <c r="M77" s="2">
        <f>G77&amp;", "&amp;H77&amp;", "&amp;E77&amp;", "&amp;F77&amp;IF(I77="S",", Божий","")</f>
        <v/>
      </c>
      <c r="N77" s="6" t="n">
        <v>30</v>
      </c>
      <c r="O77" s="6" t="n">
        <v>18</v>
      </c>
      <c r="P77" s="6" t="n">
        <v>0</v>
      </c>
      <c r="Q77" s="6" t="n">
        <v>1</v>
      </c>
      <c r="R77" s="6" t="inlineStr">
        <is>
          <t>фикс</t>
        </is>
      </c>
      <c r="S77" s="6" t="n">
        <v>0</v>
      </c>
      <c r="T77" s="6" t="n">
        <v>15</v>
      </c>
      <c r="U77" s="6" t="n">
        <v>0</v>
      </c>
      <c r="V77" s="6" t="n">
        <v>5</v>
      </c>
      <c r="W77" s="6" t="n">
        <v>0</v>
      </c>
      <c r="X77" s="2">
        <f>Q77*IF(R77="оружие ближнее",P77*Константы!$B$3,IF(R77="оружие дальнее",P77*Константы!$B$4,P77))</f>
        <v/>
      </c>
      <c r="Y77" s="15">
        <f>INDEX(Константы!$D$18:$D$22,MATCH(I77,Константы!$A$18:$A$22,0))</f>
        <v/>
      </c>
      <c r="Z77" s="16">
        <f>X77*(1+Y77)</f>
        <v/>
      </c>
      <c r="AA77" s="16">
        <f>N77*(1-INDEX(Константы!$E$18:$E$22,MATCH(I77,Константы!$A$18:$A$22,0)))</f>
        <v/>
      </c>
      <c r="AB77" s="14">
        <f>IF(AA77&gt;0,Z77/AA77,0)</f>
        <v/>
      </c>
      <c r="AC77" s="16">
        <f>IF(O77&gt;0,Z77/O77,0)</f>
        <v/>
      </c>
      <c r="AD77" s="14">
        <f>IF(AA77&gt;0,AB77/Константы!$B$14,0)</f>
        <v/>
      </c>
      <c r="AE77" s="2">
        <f>IF(Z77=0,"без урона",IF(AD77&gt;Константы!$B$12,"перегиб",IF(AND(AA77&gt;0,AD77&lt;Константы!$B$13),"слабый","норма")))</f>
        <v/>
      </c>
      <c r="AF77" s="2" t="inlineStr">
        <is>
          <t>Щит 20% здоровья; при разрушении переходит на ближайшего союзника.</t>
        </is>
      </c>
      <c r="AG77" s="2" t="inlineStr">
        <is>
          <t>Раскрытая золотая ладонь над головой союзника.</t>
        </is>
      </c>
      <c r="AH77" s="2">
        <f>"Flat game UI rune icon, 256x256, centered on a dark slate (#1E2230) square tile. An outer "&amp;INDEX(Руны!$C$27:$C$30,MATCH(G77,Руны!$A$27:$A$30,0))&amp;", thick carved "&amp;INDEX(Руны!$F$2:$F$10,MATCH(E77,Руны!$A$2:$A$10,0))&amp;" stroke"&amp;INDEX(Руны!$G$2:$G$10,MATCH(E77,Руны!$A$2:$A$10,0))&amp;" and a "&amp;INDEX(Руны!$I$2:$I$10,MATCH(E77,Руны!$A$2:$A$10,0))&amp;" around its outside. Inside: "&amp;INDEX(Руны!$C$14:$C$23,MATCH(H77,Руны!$A$14:$A$23,0))&amp;". Chiseled straight line ends, flat vector, no perspective, faint outer glow."</f>
        <v/>
      </c>
      <c r="AI77" s="2" t="inlineStr">
        <is>
          <t>[Д] черновик</t>
        </is>
      </c>
    </row>
    <row r="78">
      <c r="A78" s="2" t="inlineStr">
        <is>
          <t>Дар</t>
        </is>
      </c>
      <c r="B78" s="2" t="inlineStr">
        <is>
          <t>Активный</t>
        </is>
      </c>
      <c r="C78" s="2" t="inlineStr">
        <is>
          <t>Степь</t>
        </is>
      </c>
      <c r="D78" s="2" t="inlineStr">
        <is>
          <t>Дажьбог</t>
        </is>
      </c>
      <c r="E78" s="2" t="inlineStr">
        <is>
          <t>Солнце</t>
        </is>
      </c>
      <c r="F78" s="2" t="inlineStr">
        <is>
          <t>Хил</t>
        </is>
      </c>
      <c r="G78" s="2" t="inlineStr">
        <is>
          <t>чары</t>
        </is>
      </c>
      <c r="H78" s="2" t="inlineStr">
        <is>
          <t>лечение</t>
        </is>
      </c>
      <c r="I78" s="2" t="inlineStr">
        <is>
          <t>D</t>
        </is>
      </c>
      <c r="J78" s="2">
        <f>INDEX(Константы!$G$18:$G$22,MATCH(I78,Константы!$A$18:$A$22,0))</f>
        <v/>
      </c>
      <c r="K78" s="2">
        <f>INDEX(Константы!$F$18:$F$22,MATCH(I78,Константы!$A$18:$A$22,0))</f>
        <v/>
      </c>
      <c r="L78" s="2">
        <f>INDEX(Константы!$C$18:$C$22,MATCH(I78,Константы!$A$18:$A$22,0))</f>
        <v/>
      </c>
      <c r="M78" s="2">
        <f>G78&amp;", "&amp;H78&amp;", "&amp;E78&amp;", "&amp;F78&amp;IF(I78="S",", Божий","")</f>
        <v/>
      </c>
      <c r="N78" s="6" t="n">
        <v>25</v>
      </c>
      <c r="O78" s="6" t="n">
        <v>12</v>
      </c>
      <c r="P78" s="6" t="n">
        <v>0</v>
      </c>
      <c r="Q78" s="6" t="n">
        <v>1</v>
      </c>
      <c r="R78" s="6" t="inlineStr">
        <is>
          <t>фикс</t>
        </is>
      </c>
      <c r="S78" s="6" t="n">
        <v>0</v>
      </c>
      <c r="T78" s="6" t="n">
        <v>15</v>
      </c>
      <c r="U78" s="6" t="n">
        <v>0</v>
      </c>
      <c r="V78" s="6" t="n">
        <v>0</v>
      </c>
      <c r="W78" s="6" t="n">
        <v>0</v>
      </c>
      <c r="X78" s="2">
        <f>Q78*IF(R78="оружие ближнее",P78*Константы!$B$3,IF(R78="оружие дальнее",P78*Константы!$B$4,P78))</f>
        <v/>
      </c>
      <c r="Y78" s="15">
        <f>INDEX(Константы!$D$18:$D$22,MATCH(I78,Константы!$A$18:$A$22,0))</f>
        <v/>
      </c>
      <c r="Z78" s="16">
        <f>X78*(1+Y78)</f>
        <v/>
      </c>
      <c r="AA78" s="16">
        <f>N78*(1-INDEX(Константы!$E$18:$E$22,MATCH(I78,Константы!$A$18:$A$22,0)))</f>
        <v/>
      </c>
      <c r="AB78" s="14">
        <f>IF(AA78&gt;0,Z78/AA78,0)</f>
        <v/>
      </c>
      <c r="AC78" s="16">
        <f>IF(O78&gt;0,Z78/O78,0)</f>
        <v/>
      </c>
      <c r="AD78" s="14">
        <f>IF(AA78&gt;0,AB78/Константы!$B$14,0)</f>
        <v/>
      </c>
      <c r="AE78" s="2">
        <f>IF(Z78=0,"без урона",IF(AD78&gt;Константы!$B$12,"перегиб",IF(AND(AA78&gt;0,AD78&lt;Константы!$B$13),"слабый","норма")))</f>
        <v/>
      </c>
      <c r="AF78" s="2" t="inlineStr">
        <is>
          <t>Лечит 20%; излишек лечения переходит следующему союзнику по цепи.</t>
        </is>
      </c>
      <c r="AG78" s="2" t="inlineStr">
        <is>
          <t>Горсть света переходит из рук в руки.</t>
        </is>
      </c>
      <c r="AH78" s="2">
        <f>"Flat game UI rune icon, 256x256, centered on a dark slate (#1E2230) square tile. An outer "&amp;INDEX(Руны!$C$27:$C$30,MATCH(G78,Руны!$A$27:$A$30,0))&amp;", thick carved "&amp;INDEX(Руны!$F$2:$F$10,MATCH(E78,Руны!$A$2:$A$10,0))&amp;" stroke"&amp;INDEX(Руны!$G$2:$G$10,MATCH(E78,Руны!$A$2:$A$10,0))&amp;" and a "&amp;INDEX(Руны!$I$2:$I$10,MATCH(E78,Руны!$A$2:$A$10,0))&amp;" around its outside. Inside: "&amp;INDEX(Руны!$C$14:$C$23,MATCH(H78,Руны!$A$14:$A$23,0))&amp;". Chiseled straight line ends, flat vector, no perspective, faint outer glow."</f>
        <v/>
      </c>
      <c r="AI78" s="2" t="inlineStr">
        <is>
          <t>[Д] черновик</t>
        </is>
      </c>
    </row>
    <row r="79">
      <c r="A79" s="2" t="inlineStr">
        <is>
          <t>Родословие</t>
        </is>
      </c>
      <c r="B79" s="2" t="inlineStr">
        <is>
          <t>Активный</t>
        </is>
      </c>
      <c r="C79" s="2" t="inlineStr">
        <is>
          <t>Степь</t>
        </is>
      </c>
      <c r="D79" s="2" t="inlineStr">
        <is>
          <t>Дажьбог</t>
        </is>
      </c>
      <c r="E79" s="2" t="inlineStr">
        <is>
          <t>Солнце</t>
        </is>
      </c>
      <c r="F79" s="2" t="inlineStr">
        <is>
          <t>Хил</t>
        </is>
      </c>
      <c r="G79" s="2" t="inlineStr">
        <is>
          <t>чары</t>
        </is>
      </c>
      <c r="H79" s="2" t="inlineStr">
        <is>
          <t>лечение</t>
        </is>
      </c>
      <c r="I79" s="2" t="inlineStr">
        <is>
          <t>A</t>
        </is>
      </c>
      <c r="J79" s="2">
        <f>INDEX(Константы!$G$18:$G$22,MATCH(I79,Константы!$A$18:$A$22,0))</f>
        <v/>
      </c>
      <c r="K79" s="2">
        <f>INDEX(Константы!$F$18:$F$22,MATCH(I79,Константы!$A$18:$A$22,0))</f>
        <v/>
      </c>
      <c r="L79" s="2">
        <f>INDEX(Константы!$C$18:$C$22,MATCH(I79,Константы!$A$18:$A$22,0))</f>
        <v/>
      </c>
      <c r="M79" s="2">
        <f>G79&amp;", "&amp;H79&amp;", "&amp;E79&amp;", "&amp;F79&amp;IF(I79="S",", Божий","")</f>
        <v/>
      </c>
      <c r="N79" s="6" t="n">
        <v>35</v>
      </c>
      <c r="O79" s="6" t="n">
        <v>22</v>
      </c>
      <c r="P79" s="6" t="n">
        <v>0</v>
      </c>
      <c r="Q79" s="6" t="n">
        <v>1</v>
      </c>
      <c r="R79" s="6" t="inlineStr">
        <is>
          <t>фикс</t>
        </is>
      </c>
      <c r="S79" s="6" t="n">
        <v>0</v>
      </c>
      <c r="T79" s="6" t="n">
        <v>20</v>
      </c>
      <c r="U79" s="6" t="n">
        <v>0</v>
      </c>
      <c r="V79" s="6" t="n">
        <v>0</v>
      </c>
      <c r="W79" s="6" t="n">
        <v>0</v>
      </c>
      <c r="X79" s="2">
        <f>Q79*IF(R79="оружие ближнее",P79*Константы!$B$3,IF(R79="оружие дальнее",P79*Константы!$B$4,P79))</f>
        <v/>
      </c>
      <c r="Y79" s="15">
        <f>INDEX(Константы!$D$18:$D$22,MATCH(I79,Константы!$A$18:$A$22,0))</f>
        <v/>
      </c>
      <c r="Z79" s="16">
        <f>X79*(1+Y79)</f>
        <v/>
      </c>
      <c r="AA79" s="16">
        <f>N79*(1-INDEX(Константы!$E$18:$E$22,MATCH(I79,Константы!$A$18:$A$22,0)))</f>
        <v/>
      </c>
      <c r="AB79" s="14">
        <f>IF(AA79&gt;0,Z79/AA79,0)</f>
        <v/>
      </c>
      <c r="AC79" s="16">
        <f>IF(O79&gt;0,Z79/O79,0)</f>
        <v/>
      </c>
      <c r="AD79" s="14">
        <f>IF(AA79&gt;0,AB79/Константы!$B$14,0)</f>
        <v/>
      </c>
      <c r="AE79" s="2">
        <f>IF(Z79=0,"без урона",IF(AD79&gt;Константы!$B$12,"перегиб",IF(AND(AA79&gt;0,AD79&lt;Константы!$B$13),"слабый","норма")))</f>
        <v/>
      </c>
      <c r="AF79" s="2" t="inlineStr">
        <is>
          <t>Цепь лечения по 4 союзникам: 25%, 20%, 15%, 10%.</t>
        </is>
      </c>
      <c r="AG79" s="2" t="inlineStr">
        <is>
          <t>Четыре фигуры в ряд, над каждой светлая точка поменьше.</t>
        </is>
      </c>
      <c r="AH79" s="2">
        <f>"Flat game UI rune icon, 256x256, centered on a dark slate (#1E2230) square tile. An outer "&amp;INDEX(Руны!$C$27:$C$30,MATCH(G79,Руны!$A$27:$A$30,0))&amp;", thick carved "&amp;INDEX(Руны!$F$2:$F$10,MATCH(E79,Руны!$A$2:$A$10,0))&amp;" stroke"&amp;INDEX(Руны!$G$2:$G$10,MATCH(E79,Руны!$A$2:$A$10,0))&amp;" and a "&amp;INDEX(Руны!$I$2:$I$10,MATCH(E79,Руны!$A$2:$A$10,0))&amp;" around its outside. Inside: "&amp;INDEX(Руны!$C$14:$C$23,MATCH(H79,Руны!$A$14:$A$23,0))&amp;". Chiseled straight line ends, flat vector, no perspective, faint outer glow."</f>
        <v/>
      </c>
      <c r="AI79" s="2" t="inlineStr">
        <is>
          <t>[Д] черновик</t>
        </is>
      </c>
    </row>
    <row r="80">
      <c r="A80" s="2" t="inlineStr">
        <is>
          <t>Солнечный конь</t>
        </is>
      </c>
      <c r="B80" s="2" t="inlineStr">
        <is>
          <t>Активный</t>
        </is>
      </c>
      <c r="C80" s="2" t="inlineStr">
        <is>
          <t>Степь</t>
        </is>
      </c>
      <c r="D80" s="2" t="inlineStr">
        <is>
          <t>Дажьбог</t>
        </is>
      </c>
      <c r="E80" s="2" t="inlineStr">
        <is>
          <t>Солнце</t>
        </is>
      </c>
      <c r="F80" s="2" t="inlineStr">
        <is>
          <t>Призыв</t>
        </is>
      </c>
      <c r="G80" s="2" t="inlineStr">
        <is>
          <t>чары</t>
        </is>
      </c>
      <c r="H80" s="2" t="inlineStr">
        <is>
          <t>призыв</t>
        </is>
      </c>
      <c r="I80" s="2" t="inlineStr">
        <is>
          <t>C</t>
        </is>
      </c>
      <c r="J80" s="2">
        <f>INDEX(Константы!$G$18:$G$22,MATCH(I80,Константы!$A$18:$A$22,0))</f>
        <v/>
      </c>
      <c r="K80" s="2">
        <f>INDEX(Константы!$F$18:$F$22,MATCH(I80,Константы!$A$18:$A$22,0))</f>
        <v/>
      </c>
      <c r="L80" s="2">
        <f>INDEX(Константы!$C$18:$C$22,MATCH(I80,Константы!$A$18:$A$22,0))</f>
        <v/>
      </c>
      <c r="M80" s="2">
        <f>G80&amp;", "&amp;H80&amp;", "&amp;E80&amp;", "&amp;F80&amp;IF(I80="S",", Божий","")</f>
        <v/>
      </c>
      <c r="N80" s="6" t="n">
        <v>30</v>
      </c>
      <c r="O80" s="6" t="n">
        <v>20</v>
      </c>
      <c r="P80" s="6" t="n">
        <v>15</v>
      </c>
      <c r="Q80" s="6" t="n">
        <v>12</v>
      </c>
      <c r="R80" s="6" t="inlineStr">
        <is>
          <t>фикс</t>
        </is>
      </c>
      <c r="S80" s="6" t="n">
        <v>0</v>
      </c>
      <c r="T80" s="6" t="n">
        <v>0</v>
      </c>
      <c r="U80" s="6" t="n">
        <v>0</v>
      </c>
      <c r="V80" s="6" t="n">
        <v>12</v>
      </c>
      <c r="W80" s="6" t="n">
        <v>0</v>
      </c>
      <c r="X80" s="2">
        <f>Q80*IF(R80="оружие ближнее",P80*Константы!$B$3,IF(R80="оружие дальнее",P80*Константы!$B$4,P80))</f>
        <v/>
      </c>
      <c r="Y80" s="15">
        <f>INDEX(Константы!$D$18:$D$22,MATCH(I80,Константы!$A$18:$A$22,0))</f>
        <v/>
      </c>
      <c r="Z80" s="16">
        <f>X80*(1+Y80)</f>
        <v/>
      </c>
      <c r="AA80" s="16">
        <f>N80*(1-INDEX(Константы!$E$18:$E$22,MATCH(I80,Константы!$A$18:$A$22,0)))</f>
        <v/>
      </c>
      <c r="AB80" s="14">
        <f>IF(AA80&gt;0,Z80/AA80,0)</f>
        <v/>
      </c>
      <c r="AC80" s="16">
        <f>IF(O80&gt;0,Z80/O80,0)</f>
        <v/>
      </c>
      <c r="AD80" s="14">
        <f>IF(AA80&gt;0,AB80/Константы!$B$14,0)</f>
        <v/>
      </c>
      <c r="AE80" s="2">
        <f>IF(Z80=0,"без урона",IF(AD80&gt;Константы!$B$12,"перегиб",IF(AND(AA80&gt;0,AD80&lt;Константы!$B$13),"слабый","норма")))</f>
        <v/>
      </c>
      <c r="AF80" s="2" t="inlineStr">
        <is>
          <t>Огненный конь 12 с скачет кругом, поджигая врагов.</t>
        </is>
      </c>
      <c r="AG80" s="2" t="inlineStr">
        <is>
          <t>Золотой конь с гривой-лучами по сухой траве.</t>
        </is>
      </c>
      <c r="AH80" s="2">
        <f>"Flat game UI rune icon, 256x256, centered on a dark slate (#1E2230) square tile. An outer "&amp;INDEX(Руны!$C$27:$C$30,MATCH(G80,Руны!$A$27:$A$30,0))&amp;", thick carved "&amp;INDEX(Руны!$F$2:$F$10,MATCH(E80,Руны!$A$2:$A$10,0))&amp;" stroke"&amp;INDEX(Руны!$G$2:$G$10,MATCH(E80,Руны!$A$2:$A$10,0))&amp;" and a "&amp;INDEX(Руны!$I$2:$I$10,MATCH(E80,Руны!$A$2:$A$10,0))&amp;" around its outside. Inside: "&amp;INDEX(Руны!$C$14:$C$23,MATCH(H80,Руны!$A$14:$A$23,0))&amp;". Chiseled straight line ends, flat vector, no perspective, faint outer glow."</f>
        <v/>
      </c>
      <c r="AI80" s="2" t="inlineStr">
        <is>
          <t>[Д] черновик</t>
        </is>
      </c>
    </row>
    <row r="81">
      <c r="A81" s="2" t="inlineStr">
        <is>
          <t>Внуки</t>
        </is>
      </c>
      <c r="B81" s="2" t="inlineStr">
        <is>
          <t>Активный</t>
        </is>
      </c>
      <c r="C81" s="2" t="inlineStr">
        <is>
          <t>Степь</t>
        </is>
      </c>
      <c r="D81" s="2" t="inlineStr">
        <is>
          <t>Дажьбог</t>
        </is>
      </c>
      <c r="E81" s="2" t="inlineStr">
        <is>
          <t>Солнце</t>
        </is>
      </c>
      <c r="F81" s="2" t="inlineStr">
        <is>
          <t>Призыв</t>
        </is>
      </c>
      <c r="G81" s="2" t="inlineStr">
        <is>
          <t>чары</t>
        </is>
      </c>
      <c r="H81" s="2" t="inlineStr">
        <is>
          <t>призыв</t>
        </is>
      </c>
      <c r="I81" s="2" t="inlineStr">
        <is>
          <t>S</t>
        </is>
      </c>
      <c r="J81" s="2">
        <f>INDEX(Константы!$G$18:$G$22,MATCH(I81,Константы!$A$18:$A$22,0))</f>
        <v/>
      </c>
      <c r="K81" s="2">
        <f>INDEX(Константы!$F$18:$F$22,MATCH(I81,Константы!$A$18:$A$22,0))</f>
        <v/>
      </c>
      <c r="L81" s="2">
        <f>INDEX(Константы!$C$18:$C$22,MATCH(I81,Константы!$A$18:$A$22,0))</f>
        <v/>
      </c>
      <c r="M81" s="2">
        <f>G81&amp;", "&amp;H81&amp;", "&amp;E81&amp;", "&amp;F81&amp;IF(I81="S",", Божий","")</f>
        <v/>
      </c>
      <c r="N81" s="6" t="n">
        <v>35</v>
      </c>
      <c r="O81" s="6" t="n">
        <v>40</v>
      </c>
      <c r="P81" s="6" t="n">
        <v>8</v>
      </c>
      <c r="Q81" s="6" t="n">
        <v>20</v>
      </c>
      <c r="R81" s="6" t="inlineStr">
        <is>
          <t>фикс</t>
        </is>
      </c>
      <c r="S81" s="6" t="n">
        <v>0</v>
      </c>
      <c r="T81" s="6" t="n">
        <v>0</v>
      </c>
      <c r="U81" s="6" t="n">
        <v>0</v>
      </c>
      <c r="V81" s="6" t="n">
        <v>20</v>
      </c>
      <c r="W81" s="6" t="n">
        <v>0</v>
      </c>
      <c r="X81" s="2">
        <f>Q81*IF(R81="оружие ближнее",P81*Константы!$B$3,IF(R81="оружие дальнее",P81*Константы!$B$4,P81))</f>
        <v/>
      </c>
      <c r="Y81" s="15">
        <f>INDEX(Константы!$D$18:$D$22,MATCH(I81,Константы!$A$18:$A$22,0))</f>
        <v/>
      </c>
      <c r="Z81" s="16">
        <f>X81*(1+Y81)</f>
        <v/>
      </c>
      <c r="AA81" s="16">
        <f>N81*(1-INDEX(Константы!$E$18:$E$22,MATCH(I81,Константы!$A$18:$A$22,0)))</f>
        <v/>
      </c>
      <c r="AB81" s="14">
        <f>IF(AA81&gt;0,Z81/AA81,0)</f>
        <v/>
      </c>
      <c r="AC81" s="16">
        <f>IF(O81&gt;0,Z81/O81,0)</f>
        <v/>
      </c>
      <c r="AD81" s="14">
        <f>IF(AA81&gt;0,AB81/Константы!$B$14,0)</f>
        <v/>
      </c>
      <c r="AE81" s="2">
        <f>IF(Z81=0,"без урона",IF(AD81&gt;Константы!$B$12,"перегиб",IF(AND(AA81&gt;0,AD81&lt;Константы!$B$13),"слабый","норма")))</f>
        <v/>
      </c>
      <c r="AF81" s="2" t="inlineStr">
        <is>
          <t>Трое «внуков» на 20 с; каждый павший передаёт силу оставшимся (+30%).</t>
        </is>
      </c>
      <c r="AG81" s="2" t="inlineStr">
        <is>
          <t>Три светлые фигуры, за ними тень каменной бабы.</t>
        </is>
      </c>
      <c r="AH81" s="2">
        <f>"Flat game UI rune icon, 256x256, centered on a dark slate (#1E2230) square tile. An outer "&amp;INDEX(Руны!$C$27:$C$30,MATCH(G81,Руны!$A$27:$A$30,0))&amp;", thick carved "&amp;INDEX(Руны!$F$2:$F$10,MATCH(E81,Руны!$A$2:$A$10,0))&amp;" stroke"&amp;INDEX(Руны!$G$2:$G$10,MATCH(E81,Руны!$A$2:$A$10,0))&amp;" and a "&amp;INDEX(Руны!$I$2:$I$10,MATCH(E81,Руны!$A$2:$A$10,0))&amp;" around its outside. Inside: "&amp;INDEX(Руны!$C$14:$C$23,MATCH(H81,Руны!$A$14:$A$23,0))&amp;". Chiseled straight line ends, flat vector, no perspective, faint outer glow."</f>
        <v/>
      </c>
      <c r="AI81" s="2" t="inlineStr">
        <is>
          <t>[Д] черновик</t>
        </is>
      </c>
    </row>
    <row r="82">
      <c r="A82" s="2" t="inlineStr">
        <is>
          <t>Ослепление</t>
        </is>
      </c>
      <c r="B82" s="2" t="inlineStr">
        <is>
          <t>Активный</t>
        </is>
      </c>
      <c r="C82" s="2" t="inlineStr">
        <is>
          <t>Степь</t>
        </is>
      </c>
      <c r="D82" s="2" t="inlineStr">
        <is>
          <t>Дажьбог</t>
        </is>
      </c>
      <c r="E82" s="2" t="inlineStr">
        <is>
          <t>Солнце</t>
        </is>
      </c>
      <c r="F82" s="2" t="inlineStr">
        <is>
          <t>Саппорт</t>
        </is>
      </c>
      <c r="G82" s="2" t="inlineStr">
        <is>
          <t>чары</t>
        </is>
      </c>
      <c r="H82" s="2" t="inlineStr">
        <is>
          <t>дебафф</t>
        </is>
      </c>
      <c r="I82" s="2" t="inlineStr">
        <is>
          <t>D</t>
        </is>
      </c>
      <c r="J82" s="2">
        <f>INDEX(Константы!$G$18:$G$22,MATCH(I82,Константы!$A$18:$A$22,0))</f>
        <v/>
      </c>
      <c r="K82" s="2">
        <f>INDEX(Константы!$F$18:$F$22,MATCH(I82,Константы!$A$18:$A$22,0))</f>
        <v/>
      </c>
      <c r="L82" s="2">
        <f>INDEX(Константы!$C$18:$C$22,MATCH(I82,Константы!$A$18:$A$22,0))</f>
        <v/>
      </c>
      <c r="M82" s="2">
        <f>G82&amp;", "&amp;H82&amp;", "&amp;E82&amp;", "&amp;F82&amp;IF(I82="S",", Божий","")</f>
        <v/>
      </c>
      <c r="N82" s="6" t="n">
        <v>20</v>
      </c>
      <c r="O82" s="6" t="n">
        <v>12</v>
      </c>
      <c r="P82" s="6" t="n">
        <v>0</v>
      </c>
      <c r="Q82" s="6" t="n">
        <v>1</v>
      </c>
      <c r="R82" s="6" t="inlineStr">
        <is>
          <t>фикс</t>
        </is>
      </c>
      <c r="S82" s="6" t="n">
        <v>5</v>
      </c>
      <c r="T82" s="6" t="n">
        <v>20</v>
      </c>
      <c r="U82" s="6" t="n">
        <v>0</v>
      </c>
      <c r="V82" s="6" t="n">
        <v>4</v>
      </c>
      <c r="W82" s="6" t="n">
        <v>0</v>
      </c>
      <c r="X82" s="2">
        <f>Q82*IF(R82="оружие ближнее",P82*Константы!$B$3,IF(R82="оружие дальнее",P82*Константы!$B$4,P82))</f>
        <v/>
      </c>
      <c r="Y82" s="15">
        <f>INDEX(Константы!$D$18:$D$22,MATCH(I82,Константы!$A$18:$A$22,0))</f>
        <v/>
      </c>
      <c r="Z82" s="16">
        <f>X82*(1+Y82)</f>
        <v/>
      </c>
      <c r="AA82" s="16">
        <f>N82*(1-INDEX(Константы!$E$18:$E$22,MATCH(I82,Константы!$A$18:$A$22,0)))</f>
        <v/>
      </c>
      <c r="AB82" s="14">
        <f>IF(AA82&gt;0,Z82/AA82,0)</f>
        <v/>
      </c>
      <c r="AC82" s="16">
        <f>IF(O82&gt;0,Z82/O82,0)</f>
        <v/>
      </c>
      <c r="AD82" s="14">
        <f>IF(AA82&gt;0,AB82/Константы!$B$14,0)</f>
        <v/>
      </c>
      <c r="AE82" s="2">
        <f>IF(Z82=0,"без урона",IF(AD82&gt;Константы!$B$12,"перегиб",IF(AND(AA82&gt;0,AD82&lt;Константы!$B$13),"слабый","норма")))</f>
        <v/>
      </c>
      <c r="AF82" s="2" t="inlineStr">
        <is>
          <t>Вспышка: враги в круге промахиваются на 30% ударов 4 с.</t>
        </is>
      </c>
      <c r="AG82" s="2" t="inlineStr">
        <is>
          <t>Белый круг вспышки, враги закрывают лица.</t>
        </is>
      </c>
      <c r="AH82" s="2">
        <f>"Flat game UI rune icon, 256x256, centered on a dark slate (#1E2230) square tile. An outer "&amp;INDEX(Руны!$C$27:$C$30,MATCH(G82,Руны!$A$27:$A$30,0))&amp;", thick carved "&amp;INDEX(Руны!$F$2:$F$10,MATCH(E82,Руны!$A$2:$A$10,0))&amp;" stroke"&amp;INDEX(Руны!$G$2:$G$10,MATCH(E82,Руны!$A$2:$A$10,0))&amp;" and a "&amp;INDEX(Руны!$I$2:$I$10,MATCH(E82,Руны!$A$2:$A$10,0))&amp;" around its outside. Inside: "&amp;INDEX(Руны!$C$14:$C$23,MATCH(H82,Руны!$A$14:$A$23,0))&amp;". Chiseled straight line ends, flat vector, no perspective, faint outer glow."</f>
        <v/>
      </c>
      <c r="AI82" s="2" t="inlineStr">
        <is>
          <t>[Д] черновик</t>
        </is>
      </c>
    </row>
    <row r="83">
      <c r="A83" s="2" t="inlineStr">
        <is>
          <t>Полдень</t>
        </is>
      </c>
      <c r="B83" s="2" t="inlineStr">
        <is>
          <t>Активный</t>
        </is>
      </c>
      <c r="C83" s="2" t="inlineStr">
        <is>
          <t>Степь</t>
        </is>
      </c>
      <c r="D83" s="2" t="inlineStr">
        <is>
          <t>Дажьбог</t>
        </is>
      </c>
      <c r="E83" s="2" t="inlineStr">
        <is>
          <t>Солнце</t>
        </is>
      </c>
      <c r="F83" s="2" t="inlineStr">
        <is>
          <t>Саппорт</t>
        </is>
      </c>
      <c r="G83" s="2" t="inlineStr">
        <is>
          <t>чары</t>
        </is>
      </c>
      <c r="H83" s="2" t="inlineStr">
        <is>
          <t>аура</t>
        </is>
      </c>
      <c r="I83" s="2" t="inlineStr">
        <is>
          <t>B</t>
        </is>
      </c>
      <c r="J83" s="2">
        <f>INDEX(Константы!$G$18:$G$22,MATCH(I83,Константы!$A$18:$A$22,0))</f>
        <v/>
      </c>
      <c r="K83" s="2">
        <f>INDEX(Константы!$F$18:$F$22,MATCH(I83,Константы!$A$18:$A$22,0))</f>
        <v/>
      </c>
      <c r="L83" s="2">
        <f>INDEX(Константы!$C$18:$C$22,MATCH(I83,Константы!$A$18:$A$22,0))</f>
        <v/>
      </c>
      <c r="M83" s="2">
        <f>G83&amp;", "&amp;H83&amp;", "&amp;E83&amp;", "&amp;F83&amp;IF(I83="S",", Божий","")</f>
        <v/>
      </c>
      <c r="N83" s="6" t="n">
        <v>20</v>
      </c>
      <c r="O83" s="6" t="n">
        <v>20</v>
      </c>
      <c r="P83" s="6" t="n">
        <v>0</v>
      </c>
      <c r="Q83" s="6" t="n">
        <v>1</v>
      </c>
      <c r="R83" s="6" t="inlineStr">
        <is>
          <t>фикс</t>
        </is>
      </c>
      <c r="S83" s="6" t="n">
        <v>10</v>
      </c>
      <c r="T83" s="6" t="n">
        <v>0</v>
      </c>
      <c r="U83" s="6" t="n">
        <v>0</v>
      </c>
      <c r="V83" s="6" t="n">
        <v>10</v>
      </c>
      <c r="W83" s="6" t="n">
        <v>0</v>
      </c>
      <c r="X83" s="2">
        <f>Q83*IF(R83="оружие ближнее",P83*Константы!$B$3,IF(R83="оружие дальнее",P83*Константы!$B$4,P83))</f>
        <v/>
      </c>
      <c r="Y83" s="15">
        <f>INDEX(Константы!$D$18:$D$22,MATCH(I83,Константы!$A$18:$A$22,0))</f>
        <v/>
      </c>
      <c r="Z83" s="16">
        <f>X83*(1+Y83)</f>
        <v/>
      </c>
      <c r="AA83" s="16">
        <f>N83*(1-INDEX(Константы!$E$18:$E$22,MATCH(I83,Константы!$A$18:$A$22,0)))</f>
        <v/>
      </c>
      <c r="AB83" s="14">
        <f>IF(AA83&gt;0,Z83/AA83,0)</f>
        <v/>
      </c>
      <c r="AC83" s="16">
        <f>IF(O83&gt;0,Z83/O83,0)</f>
        <v/>
      </c>
      <c r="AD83" s="14">
        <f>IF(AA83&gt;0,AB83/Константы!$B$14,0)</f>
        <v/>
      </c>
      <c r="AE83" s="2">
        <f>IF(Z83=0,"без урона",IF(AD83&gt;Константы!$B$12,"перегиб",IF(AND(AA83&gt;0,AD83&lt;Константы!$B$13),"слабый","норма")))</f>
        <v/>
      </c>
      <c r="AF83" s="2" t="inlineStr">
        <is>
          <t>Аура 10 с: союзники +15% урона; при выходе из ауры бафф держится 3 с.</t>
        </is>
      </c>
      <c r="AG83" s="2" t="inlineStr">
        <is>
          <t>Кольцо тёплого света, тени вокруг исчезли.</t>
        </is>
      </c>
      <c r="AH83" s="2">
        <f>"Flat game UI rune icon, 256x256, centered on a dark slate (#1E2230) square tile. An outer "&amp;INDEX(Руны!$C$27:$C$30,MATCH(G83,Руны!$A$27:$A$30,0))&amp;", thick carved "&amp;INDEX(Руны!$F$2:$F$10,MATCH(E83,Руны!$A$2:$A$10,0))&amp;" stroke"&amp;INDEX(Руны!$G$2:$G$10,MATCH(E83,Руны!$A$2:$A$10,0))&amp;" and a "&amp;INDEX(Руны!$I$2:$I$10,MATCH(E83,Руны!$A$2:$A$10,0))&amp;" around its outside. Inside: "&amp;INDEX(Руны!$C$14:$C$23,MATCH(H83,Руны!$A$14:$A$23,0))&amp;". Chiseled straight line ends, flat vector, no perspective, faint outer glow."</f>
        <v/>
      </c>
      <c r="AI83" s="2" t="inlineStr">
        <is>
          <t>[Д] черновик</t>
        </is>
      </c>
    </row>
    <row r="84">
      <c r="A84" s="2" t="inlineStr">
        <is>
          <t>Колесница</t>
        </is>
      </c>
      <c r="B84" s="2" t="inlineStr">
        <is>
          <t>Активный</t>
        </is>
      </c>
      <c r="C84" s="2" t="inlineStr">
        <is>
          <t>Степь</t>
        </is>
      </c>
      <c r="D84" s="2" t="inlineStr">
        <is>
          <t>Дажьбог</t>
        </is>
      </c>
      <c r="E84" s="2" t="inlineStr">
        <is>
          <t>Солнце</t>
        </is>
      </c>
      <c r="F84" s="2" t="inlineStr">
        <is>
          <t>Мобильность</t>
        </is>
      </c>
      <c r="G84" s="2" t="inlineStr">
        <is>
          <t>чары</t>
        </is>
      </c>
      <c r="H84" s="2" t="inlineStr">
        <is>
          <t>рывок</t>
        </is>
      </c>
      <c r="I84" s="2" t="inlineStr">
        <is>
          <t>D</t>
        </is>
      </c>
      <c r="J84" s="2">
        <f>INDEX(Константы!$G$18:$G$22,MATCH(I84,Константы!$A$18:$A$22,0))</f>
        <v/>
      </c>
      <c r="K84" s="2">
        <f>INDEX(Константы!$F$18:$F$22,MATCH(I84,Константы!$A$18:$A$22,0))</f>
        <v/>
      </c>
      <c r="L84" s="2">
        <f>INDEX(Константы!$C$18:$C$22,MATCH(I84,Константы!$A$18:$A$22,0))</f>
        <v/>
      </c>
      <c r="M84" s="2">
        <f>G84&amp;", "&amp;H84&amp;", "&amp;E84&amp;", "&amp;F84&amp;IF(I84="S",", Божий","")</f>
        <v/>
      </c>
      <c r="N84" s="6" t="n">
        <v>20</v>
      </c>
      <c r="O84" s="6" t="n">
        <v>7</v>
      </c>
      <c r="P84" s="6" t="n">
        <v>15</v>
      </c>
      <c r="Q84" s="6" t="n">
        <v>1</v>
      </c>
      <c r="R84" s="6" t="inlineStr">
        <is>
          <t>фикс</t>
        </is>
      </c>
      <c r="S84" s="6" t="n">
        <v>0</v>
      </c>
      <c r="T84" s="6" t="n">
        <v>8</v>
      </c>
      <c r="U84" s="6" t="n">
        <v>0</v>
      </c>
      <c r="V84" s="6" t="n">
        <v>0</v>
      </c>
      <c r="W84" s="6" t="n">
        <v>0</v>
      </c>
      <c r="X84" s="2">
        <f>Q84*IF(R84="оружие ближнее",P84*Константы!$B$3,IF(R84="оружие дальнее",P84*Константы!$B$4,P84))</f>
        <v/>
      </c>
      <c r="Y84" s="15">
        <f>INDEX(Константы!$D$18:$D$22,MATCH(I84,Константы!$A$18:$A$22,0))</f>
        <v/>
      </c>
      <c r="Z84" s="16">
        <f>X84*(1+Y84)</f>
        <v/>
      </c>
      <c r="AA84" s="16">
        <f>N84*(1-INDEX(Константы!$E$18:$E$22,MATCH(I84,Константы!$A$18:$A$22,0)))</f>
        <v/>
      </c>
      <c r="AB84" s="14">
        <f>IF(AA84&gt;0,Z84/AA84,0)</f>
        <v/>
      </c>
      <c r="AC84" s="16">
        <f>IF(O84&gt;0,Z84/O84,0)</f>
        <v/>
      </c>
      <c r="AD84" s="14">
        <f>IF(AA84&gt;0,AB84/Константы!$B$14,0)</f>
        <v/>
      </c>
      <c r="AE84" s="2">
        <f>IF(Z84=0,"без урона",IF(AD84&gt;Константы!$B$12,"перегиб",IF(AND(AA84&gt;0,AD84&lt;Константы!$B$13),"слабый","норма")))</f>
        <v/>
      </c>
      <c r="AF84" s="2" t="inlineStr">
        <is>
          <t>Рывок 8 м; союзник на пути получает такой же рывок.</t>
        </is>
      </c>
      <c r="AG84" s="2" t="inlineStr">
        <is>
          <t>Колесо из света катится за героем.</t>
        </is>
      </c>
      <c r="AH84" s="2">
        <f>"Flat game UI rune icon, 256x256, centered on a dark slate (#1E2230) square tile. An outer "&amp;INDEX(Руны!$C$27:$C$30,MATCH(G84,Руны!$A$27:$A$30,0))&amp;", thick carved "&amp;INDEX(Руны!$F$2:$F$10,MATCH(E84,Руны!$A$2:$A$10,0))&amp;" stroke"&amp;INDEX(Руны!$G$2:$G$10,MATCH(E84,Руны!$A$2:$A$10,0))&amp;" and a "&amp;INDEX(Руны!$I$2:$I$10,MATCH(E84,Руны!$A$2:$A$10,0))&amp;" around its outside. Inside: "&amp;INDEX(Руны!$C$14:$C$23,MATCH(H84,Руны!$A$14:$A$23,0))&amp;". Chiseled straight line ends, flat vector, no perspective, faint outer glow."</f>
        <v/>
      </c>
      <c r="AI84" s="2" t="inlineStr">
        <is>
          <t>[Д] черновик</t>
        </is>
      </c>
    </row>
    <row r="85">
      <c r="A85" s="2" t="inlineStr">
        <is>
          <t>Бег солнца</t>
        </is>
      </c>
      <c r="B85" s="2" t="inlineStr">
        <is>
          <t>Активный</t>
        </is>
      </c>
      <c r="C85" s="2" t="inlineStr">
        <is>
          <t>Степь</t>
        </is>
      </c>
      <c r="D85" s="2" t="inlineStr">
        <is>
          <t>Дажьбог</t>
        </is>
      </c>
      <c r="E85" s="2" t="inlineStr">
        <is>
          <t>Солнце</t>
        </is>
      </c>
      <c r="F85" s="2" t="inlineStr">
        <is>
          <t>Мобильность</t>
        </is>
      </c>
      <c r="G85" s="2" t="inlineStr">
        <is>
          <t>чары</t>
        </is>
      </c>
      <c r="H85" s="2" t="inlineStr">
        <is>
          <t>рывок</t>
        </is>
      </c>
      <c r="I85" s="2" t="inlineStr">
        <is>
          <t>C</t>
        </is>
      </c>
      <c r="J85" s="2">
        <f>INDEX(Константы!$G$18:$G$22,MATCH(I85,Константы!$A$18:$A$22,0))</f>
        <v/>
      </c>
      <c r="K85" s="2">
        <f>INDEX(Константы!$F$18:$F$22,MATCH(I85,Константы!$A$18:$A$22,0))</f>
        <v/>
      </c>
      <c r="L85" s="2">
        <f>INDEX(Константы!$C$18:$C$22,MATCH(I85,Константы!$A$18:$A$22,0))</f>
        <v/>
      </c>
      <c r="M85" s="2">
        <f>G85&amp;", "&amp;H85&amp;", "&amp;E85&amp;", "&amp;F85&amp;IF(I85="S",", Божий","")</f>
        <v/>
      </c>
      <c r="N85" s="6" t="n">
        <v>25</v>
      </c>
      <c r="O85" s="6" t="n">
        <v>12</v>
      </c>
      <c r="P85" s="6" t="n">
        <v>0</v>
      </c>
      <c r="Q85" s="6" t="n">
        <v>1</v>
      </c>
      <c r="R85" s="6" t="inlineStr">
        <is>
          <t>фикс</t>
        </is>
      </c>
      <c r="S85" s="6" t="n">
        <v>0</v>
      </c>
      <c r="T85" s="6" t="n">
        <v>12</v>
      </c>
      <c r="U85" s="6" t="n">
        <v>0</v>
      </c>
      <c r="V85" s="6" t="n">
        <v>0</v>
      </c>
      <c r="W85" s="6" t="n">
        <v>0</v>
      </c>
      <c r="X85" s="2">
        <f>Q85*IF(R85="оружие ближнее",P85*Константы!$B$3,IF(R85="оружие дальнее",P85*Константы!$B$4,P85))</f>
        <v/>
      </c>
      <c r="Y85" s="15">
        <f>INDEX(Константы!$D$18:$D$22,MATCH(I85,Константы!$A$18:$A$22,0))</f>
        <v/>
      </c>
      <c r="Z85" s="16">
        <f>X85*(1+Y85)</f>
        <v/>
      </c>
      <c r="AA85" s="16">
        <f>N85*(1-INDEX(Константы!$E$18:$E$22,MATCH(I85,Константы!$A$18:$A$22,0)))</f>
        <v/>
      </c>
      <c r="AB85" s="14">
        <f>IF(AA85&gt;0,Z85/AA85,0)</f>
        <v/>
      </c>
      <c r="AC85" s="16">
        <f>IF(O85&gt;0,Z85/O85,0)</f>
        <v/>
      </c>
      <c r="AD85" s="14">
        <f>IF(AA85&gt;0,AB85/Константы!$B$14,0)</f>
        <v/>
      </c>
      <c r="AE85" s="2">
        <f>IF(Z85=0,"без урона",IF(AD85&gt;Константы!$B$12,"перегиб",IF(AND(AA85&gt;0,AD85&lt;Константы!$B$13),"слабый","норма")))</f>
        <v/>
      </c>
      <c r="AF85" s="2" t="inlineStr">
        <is>
          <t>Рывок по дуге 12 м; оставляет след, ускоряющий союзников на 20%.</t>
        </is>
      </c>
      <c r="AG85" s="2" t="inlineStr">
        <is>
          <t>Дуга света от горизонта к горизонту.</t>
        </is>
      </c>
      <c r="AH85" s="2">
        <f>"Flat game UI rune icon, 256x256, centered on a dark slate (#1E2230) square tile. An outer "&amp;INDEX(Руны!$C$27:$C$30,MATCH(G85,Руны!$A$27:$A$30,0))&amp;", thick carved "&amp;INDEX(Руны!$F$2:$F$10,MATCH(E85,Руны!$A$2:$A$10,0))&amp;" stroke"&amp;INDEX(Руны!$G$2:$G$10,MATCH(E85,Руны!$A$2:$A$10,0))&amp;" and a "&amp;INDEX(Руны!$I$2:$I$10,MATCH(E85,Руны!$A$2:$A$10,0))&amp;" around its outside. Inside: "&amp;INDEX(Руны!$C$14:$C$23,MATCH(H85,Руны!$A$14:$A$23,0))&amp;". Chiseled straight line ends, flat vector, no perspective, faint outer glow."</f>
        <v/>
      </c>
      <c r="AI85" s="2" t="inlineStr">
        <is>
          <t>[Д] черновик</t>
        </is>
      </c>
    </row>
    <row r="86">
      <c r="A86" s="2" t="inlineStr">
        <is>
          <t>Вихрь</t>
        </is>
      </c>
      <c r="B86" s="2" t="inlineStr">
        <is>
          <t>Активный</t>
        </is>
      </c>
      <c r="C86" s="2" t="inlineStr">
        <is>
          <t>Берег</t>
        </is>
      </c>
      <c r="D86" s="2" t="inlineStr">
        <is>
          <t>Стрибог</t>
        </is>
      </c>
      <c r="E86" s="2" t="inlineStr">
        <is>
          <t>Ветер</t>
        </is>
      </c>
      <c r="F86" s="2" t="inlineStr">
        <is>
          <t>Мили-ДД</t>
        </is>
      </c>
      <c r="G86" s="2" t="inlineStr">
        <is>
          <t>удар</t>
        </is>
      </c>
      <c r="H86" s="2" t="inlineStr">
        <is>
          <t>площадь</t>
        </is>
      </c>
      <c r="I86" s="2" t="inlineStr">
        <is>
          <t>D</t>
        </is>
      </c>
      <c r="J86" s="2">
        <f>INDEX(Константы!$G$18:$G$22,MATCH(I86,Константы!$A$18:$A$22,0))</f>
        <v/>
      </c>
      <c r="K86" s="2">
        <f>INDEX(Константы!$F$18:$F$22,MATCH(I86,Константы!$A$18:$A$22,0))</f>
        <v/>
      </c>
      <c r="L86" s="2">
        <f>INDEX(Константы!$C$18:$C$22,MATCH(I86,Константы!$A$18:$A$22,0))</f>
        <v/>
      </c>
      <c r="M86" s="2">
        <f>G86&amp;", "&amp;H86&amp;", "&amp;E86&amp;", "&amp;F86&amp;IF(I86="S",", Божий","")</f>
        <v/>
      </c>
      <c r="N86" s="6" t="n">
        <v>20</v>
      </c>
      <c r="O86" s="6" t="n">
        <v>4</v>
      </c>
      <c r="P86" s="6" t="n">
        <v>1.6</v>
      </c>
      <c r="Q86" s="6" t="n">
        <v>1</v>
      </c>
      <c r="R86" s="6" t="inlineStr">
        <is>
          <t>оружие ближнее</t>
        </is>
      </c>
      <c r="S86" s="6" t="n">
        <v>3</v>
      </c>
      <c r="T86" s="6" t="n">
        <v>0</v>
      </c>
      <c r="U86" s="6" t="n">
        <v>0</v>
      </c>
      <c r="V86" s="6" t="n">
        <v>0</v>
      </c>
      <c r="W86" s="6" t="n">
        <v>0</v>
      </c>
      <c r="X86" s="2">
        <f>Q86*IF(R86="оружие ближнее",P86*Константы!$B$3,IF(R86="оружие дальнее",P86*Константы!$B$4,P86))</f>
        <v/>
      </c>
      <c r="Y86" s="15">
        <f>INDEX(Константы!$D$18:$D$22,MATCH(I86,Константы!$A$18:$A$22,0))</f>
        <v/>
      </c>
      <c r="Z86" s="16">
        <f>X86*(1+Y86)</f>
        <v/>
      </c>
      <c r="AA86" s="16">
        <f>N86*(1-INDEX(Константы!$E$18:$E$22,MATCH(I86,Константы!$A$18:$A$22,0)))</f>
        <v/>
      </c>
      <c r="AB86" s="14">
        <f>IF(AA86&gt;0,Z86/AA86,0)</f>
        <v/>
      </c>
      <c r="AC86" s="16">
        <f>IF(O86&gt;0,Z86/O86,0)</f>
        <v/>
      </c>
      <c r="AD86" s="14">
        <f>IF(AA86&gt;0,AB86/Константы!$B$14,0)</f>
        <v/>
      </c>
      <c r="AE86" s="2">
        <f>IF(Z86=0,"без урона",IF(AD86&gt;Константы!$B$12,"перегиб",IF(AND(AA86&gt;0,AD86&lt;Константы!$B$13),"слабый","норма")))</f>
        <v/>
      </c>
      <c r="AF86" s="2" t="inlineStr">
        <is>
          <t>Вращение с оружием; сбивает вражеские снаряды рядом.</t>
        </is>
      </c>
      <c r="AG86" s="2" t="inlineStr">
        <is>
          <t>Столб пыли вокруг вращающегося героя.</t>
        </is>
      </c>
      <c r="AH86" s="2">
        <f>"Flat game UI rune icon, 256x256, centered on a dark slate (#1E2230) square tile. An outer "&amp;INDEX(Руны!$C$27:$C$30,MATCH(G86,Руны!$A$27:$A$30,0))&amp;", thick carved "&amp;INDEX(Руны!$F$2:$F$10,MATCH(E86,Руны!$A$2:$A$10,0))&amp;" stroke"&amp;INDEX(Руны!$G$2:$G$10,MATCH(E86,Руны!$A$2:$A$10,0))&amp;" and a "&amp;INDEX(Руны!$I$2:$I$10,MATCH(E86,Руны!$A$2:$A$10,0))&amp;" around its outside. Inside: "&amp;INDEX(Руны!$C$14:$C$23,MATCH(H86,Руны!$A$14:$A$23,0))&amp;". Chiseled straight line ends, flat vector, no perspective, faint outer glow."</f>
        <v/>
      </c>
      <c r="AI86" s="2" t="inlineStr">
        <is>
          <t>[Д] черновик</t>
        </is>
      </c>
    </row>
    <row r="87">
      <c r="A87" s="2" t="inlineStr">
        <is>
          <t>Порыв</t>
        </is>
      </c>
      <c r="B87" s="2" t="inlineStr">
        <is>
          <t>Активный</t>
        </is>
      </c>
      <c r="C87" s="2" t="inlineStr">
        <is>
          <t>Берег</t>
        </is>
      </c>
      <c r="D87" s="2" t="inlineStr">
        <is>
          <t>Стрибог</t>
        </is>
      </c>
      <c r="E87" s="2" t="inlineStr">
        <is>
          <t>Ветер</t>
        </is>
      </c>
      <c r="F87" s="2" t="inlineStr">
        <is>
          <t>Мили-ДД</t>
        </is>
      </c>
      <c r="G87" s="2" t="inlineStr">
        <is>
          <t>удар</t>
        </is>
      </c>
      <c r="H87" s="2" t="inlineStr">
        <is>
          <t>площадь</t>
        </is>
      </c>
      <c r="I87" s="2" t="inlineStr">
        <is>
          <t>B</t>
        </is>
      </c>
      <c r="J87" s="2">
        <f>INDEX(Константы!$G$18:$G$22,MATCH(I87,Константы!$A$18:$A$22,0))</f>
        <v/>
      </c>
      <c r="K87" s="2">
        <f>INDEX(Константы!$F$18:$F$22,MATCH(I87,Константы!$A$18:$A$22,0))</f>
        <v/>
      </c>
      <c r="L87" s="2">
        <f>INDEX(Константы!$C$18:$C$22,MATCH(I87,Константы!$A$18:$A$22,0))</f>
        <v/>
      </c>
      <c r="M87" s="2">
        <f>G87&amp;", "&amp;H87&amp;", "&amp;E87&amp;", "&amp;F87&amp;IF(I87="S",", Божий","")</f>
        <v/>
      </c>
      <c r="N87" s="6" t="n">
        <v>25</v>
      </c>
      <c r="O87" s="6" t="n">
        <v>8</v>
      </c>
      <c r="P87" s="6" t="n">
        <v>2</v>
      </c>
      <c r="Q87" s="6" t="n">
        <v>1</v>
      </c>
      <c r="R87" s="6" t="inlineStr">
        <is>
          <t>оружие ближнее</t>
        </is>
      </c>
      <c r="S87" s="6" t="n">
        <v>5</v>
      </c>
      <c r="T87" s="6" t="n">
        <v>0</v>
      </c>
      <c r="U87" s="6" t="n">
        <v>0</v>
      </c>
      <c r="V87" s="6" t="n">
        <v>0</v>
      </c>
      <c r="W87" s="6" t="n">
        <v>0.3</v>
      </c>
      <c r="X87" s="2">
        <f>Q87*IF(R87="оружие ближнее",P87*Константы!$B$3,IF(R87="оружие дальнее",P87*Константы!$B$4,P87))</f>
        <v/>
      </c>
      <c r="Y87" s="15">
        <f>INDEX(Константы!$D$18:$D$22,MATCH(I87,Константы!$A$18:$A$22,0))</f>
        <v/>
      </c>
      <c r="Z87" s="16">
        <f>X87*(1+Y87)</f>
        <v/>
      </c>
      <c r="AA87" s="16">
        <f>N87*(1-INDEX(Константы!$E$18:$E$22,MATCH(I87,Константы!$A$18:$A$22,0)))</f>
        <v/>
      </c>
      <c r="AB87" s="14">
        <f>IF(AA87&gt;0,Z87/AA87,0)</f>
        <v/>
      </c>
      <c r="AC87" s="16">
        <f>IF(O87&gt;0,Z87/O87,0)</f>
        <v/>
      </c>
      <c r="AD87" s="14">
        <f>IF(AA87&gt;0,AB87/Константы!$B$14,0)</f>
        <v/>
      </c>
      <c r="AE87" s="2">
        <f>IF(Z87=0,"без урона",IF(AD87&gt;Константы!$B$12,"перегиб",IF(AND(AA87&gt;0,AD87&lt;Константы!$B$13),"слабый","норма")))</f>
        <v/>
      </c>
      <c r="AF87" s="2" t="inlineStr">
        <is>
          <t>Удар-порыв: отбрасывает на 4 м, враги, врезавшиеся в стену, оглушены.</t>
        </is>
      </c>
      <c r="AG87" s="2" t="inlineStr">
        <is>
          <t>Невидимая стена ветра сносит врагов, соль летит.</t>
        </is>
      </c>
      <c r="AH87" s="2">
        <f>"Flat game UI rune icon, 256x256, centered on a dark slate (#1E2230) square tile. An outer "&amp;INDEX(Руны!$C$27:$C$30,MATCH(G87,Руны!$A$27:$A$30,0))&amp;", thick carved "&amp;INDEX(Руны!$F$2:$F$10,MATCH(E87,Руны!$A$2:$A$10,0))&amp;" stroke"&amp;INDEX(Руны!$G$2:$G$10,MATCH(E87,Руны!$A$2:$A$10,0))&amp;" and a "&amp;INDEX(Руны!$I$2:$I$10,MATCH(E87,Руны!$A$2:$A$10,0))&amp;" around its outside. Inside: "&amp;INDEX(Руны!$C$14:$C$23,MATCH(H87,Руны!$A$14:$A$23,0))&amp;". Chiseled straight line ends, flat vector, no perspective, faint outer glow."</f>
        <v/>
      </c>
      <c r="AI87" s="2" t="inlineStr">
        <is>
          <t>[Д] черновик</t>
        </is>
      </c>
    </row>
    <row r="88">
      <c r="A88" s="2" t="inlineStr">
        <is>
          <t>Посвист</t>
        </is>
      </c>
      <c r="B88" s="2" t="inlineStr">
        <is>
          <t>Активный</t>
        </is>
      </c>
      <c r="C88" s="2" t="inlineStr">
        <is>
          <t>Берег</t>
        </is>
      </c>
      <c r="D88" s="2" t="inlineStr">
        <is>
          <t>Стрибог</t>
        </is>
      </c>
      <c r="E88" s="2" t="inlineStr">
        <is>
          <t>Ветер</t>
        </is>
      </c>
      <c r="F88" s="2" t="inlineStr">
        <is>
          <t>Ренж-ДД</t>
        </is>
      </c>
      <c r="G88" s="2" t="inlineStr">
        <is>
          <t>выстрел</t>
        </is>
      </c>
      <c r="H88" s="2" t="inlineStr">
        <is>
          <t>снаряд</t>
        </is>
      </c>
      <c r="I88" s="2" t="inlineStr">
        <is>
          <t>D</t>
        </is>
      </c>
      <c r="J88" s="2">
        <f>INDEX(Константы!$G$18:$G$22,MATCH(I88,Константы!$A$18:$A$22,0))</f>
        <v/>
      </c>
      <c r="K88" s="2">
        <f>INDEX(Константы!$F$18:$F$22,MATCH(I88,Константы!$A$18:$A$22,0))</f>
        <v/>
      </c>
      <c r="L88" s="2">
        <f>INDEX(Константы!$C$18:$C$22,MATCH(I88,Константы!$A$18:$A$22,0))</f>
        <v/>
      </c>
      <c r="M88" s="2">
        <f>G88&amp;", "&amp;H88&amp;", "&amp;E88&amp;", "&amp;F88&amp;IF(I88="S",", Божий","")</f>
        <v/>
      </c>
      <c r="N88" s="6" t="n">
        <v>10</v>
      </c>
      <c r="O88" s="6" t="n">
        <v>2</v>
      </c>
      <c r="P88" s="6" t="n">
        <v>1.1</v>
      </c>
      <c r="Q88" s="6" t="n">
        <v>1</v>
      </c>
      <c r="R88" s="6" t="inlineStr">
        <is>
          <t>оружие дальнее</t>
        </is>
      </c>
      <c r="S88" s="6" t="n">
        <v>0</v>
      </c>
      <c r="T88" s="6" t="n">
        <v>40</v>
      </c>
      <c r="U88" s="6" t="n">
        <v>0</v>
      </c>
      <c r="V88" s="6" t="n">
        <v>0</v>
      </c>
      <c r="W88" s="6" t="n">
        <v>0</v>
      </c>
      <c r="X88" s="2">
        <f>Q88*IF(R88="оружие ближнее",P88*Константы!$B$3,IF(R88="оружие дальнее",P88*Константы!$B$4,P88))</f>
        <v/>
      </c>
      <c r="Y88" s="15">
        <f>INDEX(Константы!$D$18:$D$22,MATCH(I88,Константы!$A$18:$A$22,0))</f>
        <v/>
      </c>
      <c r="Z88" s="16">
        <f>X88*(1+Y88)</f>
        <v/>
      </c>
      <c r="AA88" s="16">
        <f>N88*(1-INDEX(Константы!$E$18:$E$22,MATCH(I88,Константы!$A$18:$A$22,0)))</f>
        <v/>
      </c>
      <c r="AB88" s="14">
        <f>IF(AA88&gt;0,Z88/AA88,0)</f>
        <v/>
      </c>
      <c r="AC88" s="16">
        <f>IF(O88&gt;0,Z88/O88,0)</f>
        <v/>
      </c>
      <c r="AD88" s="14">
        <f>IF(AA88&gt;0,AB88/Константы!$B$14,0)</f>
        <v/>
      </c>
      <c r="AE88" s="2">
        <f>IF(Z88=0,"без урона",IF(AD88&gt;Константы!$B$12,"перегиб",IF(AND(AA88&gt;0,AD88&lt;Константы!$B$13),"слабый","норма")))</f>
        <v/>
      </c>
      <c r="AF88" s="2" t="inlineStr">
        <is>
          <t>Снаряд заворачивает к ближайшему врагу вне прицела.</t>
        </is>
      </c>
      <c r="AG88" s="2" t="inlineStr">
        <is>
          <t>Пуля оставляет в воздухе закрученный след.</t>
        </is>
      </c>
      <c r="AH88" s="2">
        <f>"Flat game UI rune icon, 256x256, centered on a dark slate (#1E2230) square tile. An outer "&amp;INDEX(Руны!$C$27:$C$30,MATCH(G88,Руны!$A$27:$A$30,0))&amp;", thick carved "&amp;INDEX(Руны!$F$2:$F$10,MATCH(E88,Руны!$A$2:$A$10,0))&amp;" stroke"&amp;INDEX(Руны!$G$2:$G$10,MATCH(E88,Руны!$A$2:$A$10,0))&amp;" and a "&amp;INDEX(Руны!$I$2:$I$10,MATCH(E88,Руны!$A$2:$A$10,0))&amp;" around its outside. Inside: "&amp;INDEX(Руны!$C$14:$C$23,MATCH(H88,Руны!$A$14:$A$23,0))&amp;". Chiseled straight line ends, flat vector, no perspective, faint outer glow."</f>
        <v/>
      </c>
      <c r="AI88" s="2" t="inlineStr">
        <is>
          <t>[Д] черновик</t>
        </is>
      </c>
    </row>
    <row r="89">
      <c r="A89" s="2" t="inlineStr">
        <is>
          <t>Буря-вестница</t>
        </is>
      </c>
      <c r="B89" s="2" t="inlineStr">
        <is>
          <t>Активный</t>
        </is>
      </c>
      <c r="C89" s="2" t="inlineStr">
        <is>
          <t>Берег</t>
        </is>
      </c>
      <c r="D89" s="2" t="inlineStr">
        <is>
          <t>Стрибог</t>
        </is>
      </c>
      <c r="E89" s="2" t="inlineStr">
        <is>
          <t>Ветер</t>
        </is>
      </c>
      <c r="F89" s="2" t="inlineStr">
        <is>
          <t>Ренж-ДД</t>
        </is>
      </c>
      <c r="G89" s="2" t="inlineStr">
        <is>
          <t>чары</t>
        </is>
      </c>
      <c r="H89" s="2" t="inlineStr">
        <is>
          <t>снаряд</t>
        </is>
      </c>
      <c r="I89" s="2" t="inlineStr">
        <is>
          <t>S</t>
        </is>
      </c>
      <c r="J89" s="2">
        <f>INDEX(Константы!$G$18:$G$22,MATCH(I89,Константы!$A$18:$A$22,0))</f>
        <v/>
      </c>
      <c r="K89" s="2">
        <f>INDEX(Константы!$F$18:$F$22,MATCH(I89,Константы!$A$18:$A$22,0))</f>
        <v/>
      </c>
      <c r="L89" s="2">
        <f>INDEX(Константы!$C$18:$C$22,MATCH(I89,Константы!$A$18:$A$22,0))</f>
        <v/>
      </c>
      <c r="M89" s="2">
        <f>G89&amp;", "&amp;H89&amp;", "&amp;E89&amp;", "&amp;F89&amp;IF(I89="S",", Божий","")</f>
        <v/>
      </c>
      <c r="N89" s="6" t="n">
        <v>35</v>
      </c>
      <c r="O89" s="6" t="n">
        <v>25</v>
      </c>
      <c r="P89" s="6" t="n">
        <v>0</v>
      </c>
      <c r="Q89" s="6" t="n">
        <v>1</v>
      </c>
      <c r="R89" s="6" t="inlineStr">
        <is>
          <t>фикс</t>
        </is>
      </c>
      <c r="S89" s="6" t="n">
        <v>15</v>
      </c>
      <c r="T89" s="6" t="n">
        <v>0</v>
      </c>
      <c r="U89" s="6" t="n">
        <v>0</v>
      </c>
      <c r="V89" s="6" t="n">
        <v>4</v>
      </c>
      <c r="W89" s="6" t="n">
        <v>0</v>
      </c>
      <c r="X89" s="2">
        <f>Q89*IF(R89="оружие ближнее",P89*Константы!$B$3,IF(R89="оружие дальнее",P89*Константы!$B$4,P89))</f>
        <v/>
      </c>
      <c r="Y89" s="15">
        <f>INDEX(Константы!$D$18:$D$22,MATCH(I89,Константы!$A$18:$A$22,0))</f>
        <v/>
      </c>
      <c r="Z89" s="16">
        <f>X89*(1+Y89)</f>
        <v/>
      </c>
      <c r="AA89" s="16">
        <f>N89*(1-INDEX(Константы!$E$18:$E$22,MATCH(I89,Константы!$A$18:$A$22,0)))</f>
        <v/>
      </c>
      <c r="AB89" s="14">
        <f>IF(AA89&gt;0,Z89/AA89,0)</f>
        <v/>
      </c>
      <c r="AC89" s="16">
        <f>IF(O89&gt;0,Z89/O89,0)</f>
        <v/>
      </c>
      <c r="AD89" s="14">
        <f>IF(AA89&gt;0,AB89/Константы!$B$14,0)</f>
        <v/>
      </c>
      <c r="AE89" s="2">
        <f>IF(Z89=0,"без урона",IF(AD89&gt;Константы!$B$12,"перегиб",IF(AND(AA89&gt;0,AD89&lt;Константы!$B$13),"слабый","норма")))</f>
        <v/>
      </c>
      <c r="AF89" s="2" t="inlineStr">
        <is>
          <t>4 с: все вражеские снаряды в круге разворачиваются обратно с +50% урона.</t>
        </is>
      </c>
      <c r="AG89" s="2" t="inlineStr">
        <is>
          <t>Рой стрел в воздухе замер и повернул обратно.</t>
        </is>
      </c>
      <c r="AH89" s="2">
        <f>"Flat game UI rune icon, 256x256, centered on a dark slate (#1E2230) square tile. An outer "&amp;INDEX(Руны!$C$27:$C$30,MATCH(G89,Руны!$A$27:$A$30,0))&amp;", thick carved "&amp;INDEX(Руны!$F$2:$F$10,MATCH(E89,Руны!$A$2:$A$10,0))&amp;" stroke"&amp;INDEX(Руны!$G$2:$G$10,MATCH(E89,Руны!$A$2:$A$10,0))&amp;" and a "&amp;INDEX(Руны!$I$2:$I$10,MATCH(E89,Руны!$A$2:$A$10,0))&amp;" around its outside. Inside: "&amp;INDEX(Руны!$C$14:$C$23,MATCH(H89,Руны!$A$14:$A$23,0))&amp;". Chiseled straight line ends, flat vector, no perspective, faint outer glow."</f>
        <v/>
      </c>
      <c r="AI89" s="2" t="inlineStr">
        <is>
          <t>[Д] черновик</t>
        </is>
      </c>
    </row>
    <row r="90">
      <c r="A90" s="2" t="inlineStr">
        <is>
          <t>Отвод</t>
        </is>
      </c>
      <c r="B90" s="2" t="inlineStr">
        <is>
          <t>Активный</t>
        </is>
      </c>
      <c r="C90" s="2" t="inlineStr">
        <is>
          <t>Берег</t>
        </is>
      </c>
      <c r="D90" s="2" t="inlineStr">
        <is>
          <t>Стрибог</t>
        </is>
      </c>
      <c r="E90" s="2" t="inlineStr">
        <is>
          <t>Ветер</t>
        </is>
      </c>
      <c r="F90" s="2" t="inlineStr">
        <is>
          <t>Танк</t>
        </is>
      </c>
      <c r="G90" s="2" t="inlineStr">
        <is>
          <t>чары</t>
        </is>
      </c>
      <c r="H90" s="2" t="inlineStr">
        <is>
          <t>щит</t>
        </is>
      </c>
      <c r="I90" s="2" t="inlineStr">
        <is>
          <t>D</t>
        </is>
      </c>
      <c r="J90" s="2">
        <f>INDEX(Константы!$G$18:$G$22,MATCH(I90,Константы!$A$18:$A$22,0))</f>
        <v/>
      </c>
      <c r="K90" s="2">
        <f>INDEX(Константы!$F$18:$F$22,MATCH(I90,Константы!$A$18:$A$22,0))</f>
        <v/>
      </c>
      <c r="L90" s="2">
        <f>INDEX(Константы!$C$18:$C$22,MATCH(I90,Константы!$A$18:$A$22,0))</f>
        <v/>
      </c>
      <c r="M90" s="2">
        <f>G90&amp;", "&amp;H90&amp;", "&amp;E90&amp;", "&amp;F90&amp;IF(I90="S",", Божий","")</f>
        <v/>
      </c>
      <c r="N90" s="6" t="n">
        <v>20</v>
      </c>
      <c r="O90" s="6" t="n">
        <v>12</v>
      </c>
      <c r="P90" s="6" t="n">
        <v>0</v>
      </c>
      <c r="Q90" s="6" t="n">
        <v>1</v>
      </c>
      <c r="R90" s="6" t="inlineStr">
        <is>
          <t>фикс</t>
        </is>
      </c>
      <c r="S90" s="6" t="n">
        <v>0</v>
      </c>
      <c r="T90" s="6" t="n">
        <v>0</v>
      </c>
      <c r="U90" s="6" t="n">
        <v>0</v>
      </c>
      <c r="V90" s="6" t="n">
        <v>3</v>
      </c>
      <c r="W90" s="6" t="n">
        <v>0</v>
      </c>
      <c r="X90" s="2">
        <f>Q90*IF(R90="оружие ближнее",P90*Константы!$B$3,IF(R90="оружие дальнее",P90*Константы!$B$4,P90))</f>
        <v/>
      </c>
      <c r="Y90" s="15">
        <f>INDEX(Константы!$D$18:$D$22,MATCH(I90,Константы!$A$18:$A$22,0))</f>
        <v/>
      </c>
      <c r="Z90" s="16">
        <f>X90*(1+Y90)</f>
        <v/>
      </c>
      <c r="AA90" s="16">
        <f>N90*(1-INDEX(Константы!$E$18:$E$22,MATCH(I90,Константы!$A$18:$A$22,0)))</f>
        <v/>
      </c>
      <c r="AB90" s="14">
        <f>IF(AA90&gt;0,Z90/AA90,0)</f>
        <v/>
      </c>
      <c r="AC90" s="16">
        <f>IF(O90&gt;0,Z90/O90,0)</f>
        <v/>
      </c>
      <c r="AD90" s="14">
        <f>IF(AA90&gt;0,AB90/Константы!$B$14,0)</f>
        <v/>
      </c>
      <c r="AE90" s="2">
        <f>IF(Z90=0,"без урона",IF(AD90&gt;Константы!$B$12,"перегиб",IF(AND(AA90&gt;0,AD90&lt;Константы!$B$13),"слабый","норма")))</f>
        <v/>
      </c>
      <c r="AF90" s="2" t="inlineStr">
        <is>
          <t>3 с вокруг героя ветер отклоняет снаряды.</t>
        </is>
      </c>
      <c r="AG90" s="2" t="inlineStr">
        <is>
          <t>Вокруг героя кольцо ветра, стрелы уходят вбок.</t>
        </is>
      </c>
      <c r="AH90" s="2">
        <f>"Flat game UI rune icon, 256x256, centered on a dark slate (#1E2230) square tile. An outer "&amp;INDEX(Руны!$C$27:$C$30,MATCH(G90,Руны!$A$27:$A$30,0))&amp;", thick carved "&amp;INDEX(Руны!$F$2:$F$10,MATCH(E90,Руны!$A$2:$A$10,0))&amp;" stroke"&amp;INDEX(Руны!$G$2:$G$10,MATCH(E90,Руны!$A$2:$A$10,0))&amp;" and a "&amp;INDEX(Руны!$I$2:$I$10,MATCH(E90,Руны!$A$2:$A$10,0))&amp;" around its outside. Inside: "&amp;INDEX(Руны!$C$14:$C$23,MATCH(H90,Руны!$A$14:$A$23,0))&amp;". Chiseled straight line ends, flat vector, no perspective, faint outer glow."</f>
        <v/>
      </c>
      <c r="AI90" s="2" t="inlineStr">
        <is>
          <t>[Д] черновик</t>
        </is>
      </c>
    </row>
    <row r="91">
      <c r="A91" s="2" t="inlineStr">
        <is>
          <t>Штиль</t>
        </is>
      </c>
      <c r="B91" s="2" t="inlineStr">
        <is>
          <t>Активный</t>
        </is>
      </c>
      <c r="C91" s="2" t="inlineStr">
        <is>
          <t>Берег</t>
        </is>
      </c>
      <c r="D91" s="2" t="inlineStr">
        <is>
          <t>Стрибог</t>
        </is>
      </c>
      <c r="E91" s="2" t="inlineStr">
        <is>
          <t>Ветер</t>
        </is>
      </c>
      <c r="F91" s="2" t="inlineStr">
        <is>
          <t>Танк</t>
        </is>
      </c>
      <c r="G91" s="2" t="inlineStr">
        <is>
          <t>чары</t>
        </is>
      </c>
      <c r="H91" s="2" t="inlineStr">
        <is>
          <t>щит</t>
        </is>
      </c>
      <c r="I91" s="2" t="inlineStr">
        <is>
          <t>A</t>
        </is>
      </c>
      <c r="J91" s="2">
        <f>INDEX(Константы!$G$18:$G$22,MATCH(I91,Константы!$A$18:$A$22,0))</f>
        <v/>
      </c>
      <c r="K91" s="2">
        <f>INDEX(Константы!$F$18:$F$22,MATCH(I91,Константы!$A$18:$A$22,0))</f>
        <v/>
      </c>
      <c r="L91" s="2">
        <f>INDEX(Константы!$C$18:$C$22,MATCH(I91,Константы!$A$18:$A$22,0))</f>
        <v/>
      </c>
      <c r="M91" s="2">
        <f>G91&amp;", "&amp;H91&amp;", "&amp;E91&amp;", "&amp;F91&amp;IF(I91="S",", Божий","")</f>
        <v/>
      </c>
      <c r="N91" s="6" t="n">
        <v>30</v>
      </c>
      <c r="O91" s="6" t="n">
        <v>22</v>
      </c>
      <c r="P91" s="6" t="n">
        <v>0</v>
      </c>
      <c r="Q91" s="6" t="n">
        <v>1</v>
      </c>
      <c r="R91" s="6" t="inlineStr">
        <is>
          <t>фикс</t>
        </is>
      </c>
      <c r="S91" s="6" t="n">
        <v>8</v>
      </c>
      <c r="T91" s="6" t="n">
        <v>0</v>
      </c>
      <c r="U91" s="6" t="n">
        <v>0</v>
      </c>
      <c r="V91" s="6" t="n">
        <v>5</v>
      </c>
      <c r="W91" s="6" t="n">
        <v>0</v>
      </c>
      <c r="X91" s="2">
        <f>Q91*IF(R91="оружие ближнее",P91*Константы!$B$3,IF(R91="оружие дальнее",P91*Константы!$B$4,P91))</f>
        <v/>
      </c>
      <c r="Y91" s="15">
        <f>INDEX(Константы!$D$18:$D$22,MATCH(I91,Константы!$A$18:$A$22,0))</f>
        <v/>
      </c>
      <c r="Z91" s="16">
        <f>X91*(1+Y91)</f>
        <v/>
      </c>
      <c r="AA91" s="16">
        <f>N91*(1-INDEX(Константы!$E$18:$E$22,MATCH(I91,Константы!$A$18:$A$22,0)))</f>
        <v/>
      </c>
      <c r="AB91" s="14">
        <f>IF(AA91&gt;0,Z91/AA91,0)</f>
        <v/>
      </c>
      <c r="AC91" s="16">
        <f>IF(O91&gt;0,Z91/O91,0)</f>
        <v/>
      </c>
      <c r="AD91" s="14">
        <f>IF(AA91&gt;0,AB91/Константы!$B$14,0)</f>
        <v/>
      </c>
      <c r="AE91" s="2">
        <f>IF(Z91=0,"без урона",IF(AD91&gt;Константы!$B$12,"перегиб",IF(AND(AA91&gt;0,AD91&lt;Константы!$B$13),"слабый","норма")))</f>
        <v/>
      </c>
      <c r="AF91" s="2" t="inlineStr">
        <is>
          <t>Штиль 5 с: в круге враги не могут бежать и рывком выйти.</t>
        </is>
      </c>
      <c r="AG91" s="2" t="inlineStr">
        <is>
          <t>Мёртвая гладь моря, паруса обвисли.</t>
        </is>
      </c>
      <c r="AH91" s="2">
        <f>"Flat game UI rune icon, 256x256, centered on a dark slate (#1E2230) square tile. An outer "&amp;INDEX(Руны!$C$27:$C$30,MATCH(G91,Руны!$A$27:$A$30,0))&amp;", thick carved "&amp;INDEX(Руны!$F$2:$F$10,MATCH(E91,Руны!$A$2:$A$10,0))&amp;" stroke"&amp;INDEX(Руны!$G$2:$G$10,MATCH(E91,Руны!$A$2:$A$10,0))&amp;" and a "&amp;INDEX(Руны!$I$2:$I$10,MATCH(E91,Руны!$A$2:$A$10,0))&amp;" around its outside. Inside: "&amp;INDEX(Руны!$C$14:$C$23,MATCH(H91,Руны!$A$14:$A$23,0))&amp;". Chiseled straight line ends, flat vector, no perspective, faint outer glow."</f>
        <v/>
      </c>
      <c r="AI91" s="2" t="inlineStr">
        <is>
          <t>[Д] черновик</t>
        </is>
      </c>
    </row>
    <row r="92">
      <c r="A92" s="2" t="inlineStr">
        <is>
          <t>Попутный</t>
        </is>
      </c>
      <c r="B92" s="2" t="inlineStr">
        <is>
          <t>Активный</t>
        </is>
      </c>
      <c r="C92" s="2" t="inlineStr">
        <is>
          <t>Берег</t>
        </is>
      </c>
      <c r="D92" s="2" t="inlineStr">
        <is>
          <t>Стрибог</t>
        </is>
      </c>
      <c r="E92" s="2" t="inlineStr">
        <is>
          <t>Ветер</t>
        </is>
      </c>
      <c r="F92" s="2" t="inlineStr">
        <is>
          <t>Хил</t>
        </is>
      </c>
      <c r="G92" s="2" t="inlineStr">
        <is>
          <t>чары</t>
        </is>
      </c>
      <c r="H92" s="2" t="inlineStr">
        <is>
          <t>лечение</t>
        </is>
      </c>
      <c r="I92" s="2" t="inlineStr">
        <is>
          <t>D</t>
        </is>
      </c>
      <c r="J92" s="2">
        <f>INDEX(Константы!$G$18:$G$22,MATCH(I92,Константы!$A$18:$A$22,0))</f>
        <v/>
      </c>
      <c r="K92" s="2">
        <f>INDEX(Константы!$F$18:$F$22,MATCH(I92,Константы!$A$18:$A$22,0))</f>
        <v/>
      </c>
      <c r="L92" s="2">
        <f>INDEX(Константы!$C$18:$C$22,MATCH(I92,Константы!$A$18:$A$22,0))</f>
        <v/>
      </c>
      <c r="M92" s="2">
        <f>G92&amp;", "&amp;H92&amp;", "&amp;E92&amp;", "&amp;F92&amp;IF(I92="S",", Божий","")</f>
        <v/>
      </c>
      <c r="N92" s="6" t="n">
        <v>20</v>
      </c>
      <c r="O92" s="6" t="n">
        <v>12</v>
      </c>
      <c r="P92" s="6" t="n">
        <v>0</v>
      </c>
      <c r="Q92" s="6" t="n">
        <v>1</v>
      </c>
      <c r="R92" s="6" t="inlineStr">
        <is>
          <t>фикс</t>
        </is>
      </c>
      <c r="S92" s="6" t="n">
        <v>0</v>
      </c>
      <c r="T92" s="6" t="n">
        <v>0</v>
      </c>
      <c r="U92" s="6" t="n">
        <v>0</v>
      </c>
      <c r="V92" s="6" t="n">
        <v>6</v>
      </c>
      <c r="W92" s="6" t="n">
        <v>0</v>
      </c>
      <c r="X92" s="2">
        <f>Q92*IF(R92="оружие ближнее",P92*Константы!$B$3,IF(R92="оружие дальнее",P92*Константы!$B$4,P92))</f>
        <v/>
      </c>
      <c r="Y92" s="15">
        <f>INDEX(Константы!$D$18:$D$22,MATCH(I92,Константы!$A$18:$A$22,0))</f>
        <v/>
      </c>
      <c r="Z92" s="16">
        <f>X92*(1+Y92)</f>
        <v/>
      </c>
      <c r="AA92" s="16">
        <f>N92*(1-INDEX(Константы!$E$18:$E$22,MATCH(I92,Константы!$A$18:$A$22,0)))</f>
        <v/>
      </c>
      <c r="AB92" s="14">
        <f>IF(AA92&gt;0,Z92/AA92,0)</f>
        <v/>
      </c>
      <c r="AC92" s="16">
        <f>IF(O92&gt;0,Z92/O92,0)</f>
        <v/>
      </c>
      <c r="AD92" s="14">
        <f>IF(AA92&gt;0,AB92/Константы!$B$14,0)</f>
        <v/>
      </c>
      <c r="AE92" s="2">
        <f>IF(Z92=0,"без урона",IF(AD92&gt;Константы!$B$12,"перегиб",IF(AND(AA92&gt;0,AD92&lt;Константы!$B$13),"слабый","норма")))</f>
        <v/>
      </c>
      <c r="AF92" s="2" t="inlineStr">
        <is>
          <t>6 с: лечит 1% здоровья за каждый пройденный метр.</t>
        </is>
      </c>
      <c r="AG92" s="2" t="inlineStr">
        <is>
          <t>Ветер в спину, за героем след светлой травы.</t>
        </is>
      </c>
      <c r="AH92" s="2">
        <f>"Flat game UI rune icon, 256x256, centered on a dark slate (#1E2230) square tile. An outer "&amp;INDEX(Руны!$C$27:$C$30,MATCH(G92,Руны!$A$27:$A$30,0))&amp;", thick carved "&amp;INDEX(Руны!$F$2:$F$10,MATCH(E92,Руны!$A$2:$A$10,0))&amp;" stroke"&amp;INDEX(Руны!$G$2:$G$10,MATCH(E92,Руны!$A$2:$A$10,0))&amp;" and a "&amp;INDEX(Руны!$I$2:$I$10,MATCH(E92,Руны!$A$2:$A$10,0))&amp;" around its outside. Inside: "&amp;INDEX(Руны!$C$14:$C$23,MATCH(H92,Руны!$A$14:$A$23,0))&amp;". Chiseled straight line ends, flat vector, no perspective, faint outer glow."</f>
        <v/>
      </c>
      <c r="AI92" s="2" t="inlineStr">
        <is>
          <t>[Д] черновик</t>
        </is>
      </c>
    </row>
    <row r="93">
      <c r="A93" s="2" t="inlineStr">
        <is>
          <t>Солёный ветер</t>
        </is>
      </c>
      <c r="B93" s="2" t="inlineStr">
        <is>
          <t>Активный</t>
        </is>
      </c>
      <c r="C93" s="2" t="inlineStr">
        <is>
          <t>Берег</t>
        </is>
      </c>
      <c r="D93" s="2" t="inlineStr">
        <is>
          <t>Стрибог</t>
        </is>
      </c>
      <c r="E93" s="2" t="inlineStr">
        <is>
          <t>Ветер</t>
        </is>
      </c>
      <c r="F93" s="2" t="inlineStr">
        <is>
          <t>Хил</t>
        </is>
      </c>
      <c r="G93" s="2" t="inlineStr">
        <is>
          <t>чары</t>
        </is>
      </c>
      <c r="H93" s="2" t="inlineStr">
        <is>
          <t>лечение</t>
        </is>
      </c>
      <c r="I93" s="2" t="inlineStr">
        <is>
          <t>C</t>
        </is>
      </c>
      <c r="J93" s="2">
        <f>INDEX(Константы!$G$18:$G$22,MATCH(I93,Константы!$A$18:$A$22,0))</f>
        <v/>
      </c>
      <c r="K93" s="2">
        <f>INDEX(Константы!$F$18:$F$22,MATCH(I93,Константы!$A$18:$A$22,0))</f>
        <v/>
      </c>
      <c r="L93" s="2">
        <f>INDEX(Константы!$C$18:$C$22,MATCH(I93,Константы!$A$18:$A$22,0))</f>
        <v/>
      </c>
      <c r="M93" s="2">
        <f>G93&amp;", "&amp;H93&amp;", "&amp;E93&amp;", "&amp;F93&amp;IF(I93="S",", Божий","")</f>
        <v/>
      </c>
      <c r="N93" s="6" t="n">
        <v>25</v>
      </c>
      <c r="O93" s="6" t="n">
        <v>16</v>
      </c>
      <c r="P93" s="6" t="n">
        <v>0</v>
      </c>
      <c r="Q93" s="6" t="n">
        <v>1</v>
      </c>
      <c r="R93" s="6" t="inlineStr">
        <is>
          <t>фикс</t>
        </is>
      </c>
      <c r="S93" s="6" t="n">
        <v>8</v>
      </c>
      <c r="T93" s="6" t="n">
        <v>0</v>
      </c>
      <c r="U93" s="6" t="n">
        <v>0</v>
      </c>
      <c r="V93" s="6" t="n">
        <v>5</v>
      </c>
      <c r="W93" s="6" t="n">
        <v>0</v>
      </c>
      <c r="X93" s="2">
        <f>Q93*IF(R93="оружие ближнее",P93*Константы!$B$3,IF(R93="оружие дальнее",P93*Константы!$B$4,P93))</f>
        <v/>
      </c>
      <c r="Y93" s="15">
        <f>INDEX(Константы!$D$18:$D$22,MATCH(I93,Константы!$A$18:$A$22,0))</f>
        <v/>
      </c>
      <c r="Z93" s="16">
        <f>X93*(1+Y93)</f>
        <v/>
      </c>
      <c r="AA93" s="16">
        <f>N93*(1-INDEX(Константы!$E$18:$E$22,MATCH(I93,Константы!$A$18:$A$22,0)))</f>
        <v/>
      </c>
      <c r="AB93" s="14">
        <f>IF(AA93&gt;0,Z93/AA93,0)</f>
        <v/>
      </c>
      <c r="AC93" s="16">
        <f>IF(O93&gt;0,Z93/O93,0)</f>
        <v/>
      </c>
      <c r="AD93" s="14">
        <f>IF(AA93&gt;0,AB93/Константы!$B$14,0)</f>
        <v/>
      </c>
      <c r="AE93" s="2">
        <f>IF(Z93=0,"без урона",IF(AD93&gt;Константы!$B$12,"перегиб",IF(AND(AA93&gt;0,AD93&lt;Константы!$B$13),"слабый","норма")))</f>
        <v/>
      </c>
      <c r="AF93" s="2" t="inlineStr">
        <is>
          <t>Порыв солёного ветра лечит союзников 15% и снимает поджог.</t>
        </is>
      </c>
      <c r="AG93" s="2" t="inlineStr">
        <is>
          <t>Белая соль вихрем над головами.</t>
        </is>
      </c>
      <c r="AH93" s="2">
        <f>"Flat game UI rune icon, 256x256, centered on a dark slate (#1E2230) square tile. An outer "&amp;INDEX(Руны!$C$27:$C$30,MATCH(G93,Руны!$A$27:$A$30,0))&amp;", thick carved "&amp;INDEX(Руны!$F$2:$F$10,MATCH(E93,Руны!$A$2:$A$10,0))&amp;" stroke"&amp;INDEX(Руны!$G$2:$G$10,MATCH(E93,Руны!$A$2:$A$10,0))&amp;" and a "&amp;INDEX(Руны!$I$2:$I$10,MATCH(E93,Руны!$A$2:$A$10,0))&amp;" around its outside. Inside: "&amp;INDEX(Руны!$C$14:$C$23,MATCH(H93,Руны!$A$14:$A$23,0))&amp;". Chiseled straight line ends, flat vector, no perspective, faint outer glow."</f>
        <v/>
      </c>
      <c r="AI93" s="2" t="inlineStr">
        <is>
          <t>[Д] черновик</t>
        </is>
      </c>
    </row>
    <row r="94">
      <c r="A94" s="2" t="inlineStr">
        <is>
          <t>Змей в парусе</t>
        </is>
      </c>
      <c r="B94" s="2" t="inlineStr">
        <is>
          <t>Активный</t>
        </is>
      </c>
      <c r="C94" s="2" t="inlineStr">
        <is>
          <t>Берег</t>
        </is>
      </c>
      <c r="D94" s="2" t="inlineStr">
        <is>
          <t>Стрибог</t>
        </is>
      </c>
      <c r="E94" s="2" t="inlineStr">
        <is>
          <t>Ветер</t>
        </is>
      </c>
      <c r="F94" s="2" t="inlineStr">
        <is>
          <t>Призыв</t>
        </is>
      </c>
      <c r="G94" s="2" t="inlineStr">
        <is>
          <t>чары</t>
        </is>
      </c>
      <c r="H94" s="2" t="inlineStr">
        <is>
          <t>призыв</t>
        </is>
      </c>
      <c r="I94" s="2" t="inlineStr">
        <is>
          <t>C</t>
        </is>
      </c>
      <c r="J94" s="2">
        <f>INDEX(Константы!$G$18:$G$22,MATCH(I94,Константы!$A$18:$A$22,0))</f>
        <v/>
      </c>
      <c r="K94" s="2">
        <f>INDEX(Константы!$F$18:$F$22,MATCH(I94,Константы!$A$18:$A$22,0))</f>
        <v/>
      </c>
      <c r="L94" s="2">
        <f>INDEX(Константы!$C$18:$C$22,MATCH(I94,Константы!$A$18:$A$22,0))</f>
        <v/>
      </c>
      <c r="M94" s="2">
        <f>G94&amp;", "&amp;H94&amp;", "&amp;E94&amp;", "&amp;F94&amp;IF(I94="S",", Божий","")</f>
        <v/>
      </c>
      <c r="N94" s="6" t="n">
        <v>30</v>
      </c>
      <c r="O94" s="6" t="n">
        <v>20</v>
      </c>
      <c r="P94" s="6" t="n">
        <v>12</v>
      </c>
      <c r="Q94" s="6" t="n">
        <v>12</v>
      </c>
      <c r="R94" s="6" t="inlineStr">
        <is>
          <t>фикс</t>
        </is>
      </c>
      <c r="S94" s="6" t="n">
        <v>0</v>
      </c>
      <c r="T94" s="6" t="n">
        <v>0</v>
      </c>
      <c r="U94" s="6" t="n">
        <v>0</v>
      </c>
      <c r="V94" s="6" t="n">
        <v>12</v>
      </c>
      <c r="W94" s="6" t="n">
        <v>0</v>
      </c>
      <c r="X94" s="2">
        <f>Q94*IF(R94="оружие ближнее",P94*Константы!$B$3,IF(R94="оружие дальнее",P94*Константы!$B$4,P94))</f>
        <v/>
      </c>
      <c r="Y94" s="15">
        <f>INDEX(Константы!$D$18:$D$22,MATCH(I94,Константы!$A$18:$A$22,0))</f>
        <v/>
      </c>
      <c r="Z94" s="16">
        <f>X94*(1+Y94)</f>
        <v/>
      </c>
      <c r="AA94" s="16">
        <f>N94*(1-INDEX(Константы!$E$18:$E$22,MATCH(I94,Константы!$A$18:$A$22,0)))</f>
        <v/>
      </c>
      <c r="AB94" s="14">
        <f>IF(AA94&gt;0,Z94/AA94,0)</f>
        <v/>
      </c>
      <c r="AC94" s="16">
        <f>IF(O94&gt;0,Z94/O94,0)</f>
        <v/>
      </c>
      <c r="AD94" s="14">
        <f>IF(AA94&gt;0,AB94/Константы!$B$14,0)</f>
        <v/>
      </c>
      <c r="AE94" s="2">
        <f>IF(Z94=0,"без урона",IF(AD94&gt;Константы!$B$12,"перегиб",IF(AND(AA94&gt;0,AD94&lt;Константы!$B$13),"слабый","норма")))</f>
        <v/>
      </c>
      <c r="AF94" s="2" t="inlineStr">
        <is>
          <t>Воздушный змей 12 с кружит над героем и бьёт сверху.</t>
        </is>
      </c>
      <c r="AG94" s="2" t="inlineStr">
        <is>
          <t>Бумажный змей с глазами, нить уходит в небо.</t>
        </is>
      </c>
      <c r="AH94" s="2">
        <f>"Flat game UI rune icon, 256x256, centered on a dark slate (#1E2230) square tile. An outer "&amp;INDEX(Руны!$C$27:$C$30,MATCH(G94,Руны!$A$27:$A$30,0))&amp;", thick carved "&amp;INDEX(Руны!$F$2:$F$10,MATCH(E94,Руны!$A$2:$A$10,0))&amp;" stroke"&amp;INDEX(Руны!$G$2:$G$10,MATCH(E94,Руны!$A$2:$A$10,0))&amp;" and a "&amp;INDEX(Руны!$I$2:$I$10,MATCH(E94,Руны!$A$2:$A$10,0))&amp;" around its outside. Inside: "&amp;INDEX(Руны!$C$14:$C$23,MATCH(H94,Руны!$A$14:$A$23,0))&amp;". Chiseled straight line ends, flat vector, no perspective, faint outer glow."</f>
        <v/>
      </c>
      <c r="AI94" s="2" t="inlineStr">
        <is>
          <t>[Д] черновик</t>
        </is>
      </c>
    </row>
    <row r="95">
      <c r="A95" s="2" t="inlineStr">
        <is>
          <t>Вестовые птицы</t>
        </is>
      </c>
      <c r="B95" s="2" t="inlineStr">
        <is>
          <t>Активный</t>
        </is>
      </c>
      <c r="C95" s="2" t="inlineStr">
        <is>
          <t>Берег</t>
        </is>
      </c>
      <c r="D95" s="2" t="inlineStr">
        <is>
          <t>Стрибог</t>
        </is>
      </c>
      <c r="E95" s="2" t="inlineStr">
        <is>
          <t>Ветер</t>
        </is>
      </c>
      <c r="F95" s="2" t="inlineStr">
        <is>
          <t>Призыв</t>
        </is>
      </c>
      <c r="G95" s="2" t="inlineStr">
        <is>
          <t>выстрел</t>
        </is>
      </c>
      <c r="H95" s="2" t="inlineStr">
        <is>
          <t>призыв</t>
        </is>
      </c>
      <c r="I95" s="2" t="inlineStr">
        <is>
          <t>C</t>
        </is>
      </c>
      <c r="J95" s="2">
        <f>INDEX(Константы!$G$18:$G$22,MATCH(I95,Константы!$A$18:$A$22,0))</f>
        <v/>
      </c>
      <c r="K95" s="2">
        <f>INDEX(Константы!$F$18:$F$22,MATCH(I95,Константы!$A$18:$A$22,0))</f>
        <v/>
      </c>
      <c r="L95" s="2">
        <f>INDEX(Константы!$C$18:$C$22,MATCH(I95,Константы!$A$18:$A$22,0))</f>
        <v/>
      </c>
      <c r="M95" s="2">
        <f>G95&amp;", "&amp;H95&amp;", "&amp;E95&amp;", "&amp;F95&amp;IF(I95="S",", Божий","")</f>
        <v/>
      </c>
      <c r="N95" s="6" t="n">
        <v>25</v>
      </c>
      <c r="O95" s="6" t="n">
        <v>18</v>
      </c>
      <c r="P95" s="6" t="n">
        <v>0.5</v>
      </c>
      <c r="Q95" s="6" t="n">
        <v>10</v>
      </c>
      <c r="R95" s="6" t="inlineStr">
        <is>
          <t>оружие дальнее</t>
        </is>
      </c>
      <c r="S95" s="6" t="n">
        <v>0</v>
      </c>
      <c r="T95" s="6" t="n">
        <v>30</v>
      </c>
      <c r="U95" s="6" t="n">
        <v>0</v>
      </c>
      <c r="V95" s="6" t="n">
        <v>10</v>
      </c>
      <c r="W95" s="6" t="n">
        <v>0</v>
      </c>
      <c r="X95" s="2">
        <f>Q95*IF(R95="оружие ближнее",P95*Константы!$B$3,IF(R95="оружие дальнее",P95*Константы!$B$4,P95))</f>
        <v/>
      </c>
      <c r="Y95" s="15">
        <f>INDEX(Константы!$D$18:$D$22,MATCH(I95,Константы!$A$18:$A$22,0))</f>
        <v/>
      </c>
      <c r="Z95" s="16">
        <f>X95*(1+Y95)</f>
        <v/>
      </c>
      <c r="AA95" s="16">
        <f>N95*(1-INDEX(Константы!$E$18:$E$22,MATCH(I95,Константы!$A$18:$A$22,0)))</f>
        <v/>
      </c>
      <c r="AB95" s="14">
        <f>IF(AA95&gt;0,Z95/AA95,0)</f>
        <v/>
      </c>
      <c r="AC95" s="16">
        <f>IF(O95&gt;0,Z95/O95,0)</f>
        <v/>
      </c>
      <c r="AD95" s="14">
        <f>IF(AA95&gt;0,AB95/Константы!$B$14,0)</f>
        <v/>
      </c>
      <c r="AE95" s="2">
        <f>IF(Z95=0,"без урона",IF(AD95&gt;Константы!$B$12,"перегиб",IF(AND(AA95&gt;0,AD95&lt;Константы!$B$13),"слабый","норма")))</f>
        <v/>
      </c>
      <c r="AF95" s="2" t="inlineStr">
        <is>
          <t>Выстрел выпускает 3 птиц на 10 с: клюют цели героя.</t>
        </is>
      </c>
      <c r="AG95" s="2" t="inlineStr">
        <is>
          <t>Три чайки-тени летят вдоль пули.</t>
        </is>
      </c>
      <c r="AH95" s="2">
        <f>"Flat game UI rune icon, 256x256, centered on a dark slate (#1E2230) square tile. An outer "&amp;INDEX(Руны!$C$27:$C$30,MATCH(G95,Руны!$A$27:$A$30,0))&amp;", thick carved "&amp;INDEX(Руны!$F$2:$F$10,MATCH(E95,Руны!$A$2:$A$10,0))&amp;" stroke"&amp;INDEX(Руны!$G$2:$G$10,MATCH(E95,Руны!$A$2:$A$10,0))&amp;" and a "&amp;INDEX(Руны!$I$2:$I$10,MATCH(E95,Руны!$A$2:$A$10,0))&amp;" around its outside. Inside: "&amp;INDEX(Руны!$C$14:$C$23,MATCH(H95,Руны!$A$14:$A$23,0))&amp;". Chiseled straight line ends, flat vector, no perspective, faint outer glow."</f>
        <v/>
      </c>
      <c r="AI95" s="2" t="inlineStr">
        <is>
          <t>[Д] черновик</t>
        </is>
      </c>
    </row>
    <row r="96">
      <c r="A96" s="2" t="inlineStr">
        <is>
          <t>Примета</t>
        </is>
      </c>
      <c r="B96" s="2" t="inlineStr">
        <is>
          <t>Активный</t>
        </is>
      </c>
      <c r="C96" s="2" t="inlineStr">
        <is>
          <t>Берег</t>
        </is>
      </c>
      <c r="D96" s="2" t="inlineStr">
        <is>
          <t>Стрибог</t>
        </is>
      </c>
      <c r="E96" s="2" t="inlineStr">
        <is>
          <t>Ветер</t>
        </is>
      </c>
      <c r="F96" s="2" t="inlineStr">
        <is>
          <t>Саппорт</t>
        </is>
      </c>
      <c r="G96" s="2" t="inlineStr">
        <is>
          <t>чары</t>
        </is>
      </c>
      <c r="H96" s="2" t="inlineStr">
        <is>
          <t>дебафф</t>
        </is>
      </c>
      <c r="I96" s="2" t="inlineStr">
        <is>
          <t>D</t>
        </is>
      </c>
      <c r="J96" s="2">
        <f>INDEX(Константы!$G$18:$G$22,MATCH(I96,Константы!$A$18:$A$22,0))</f>
        <v/>
      </c>
      <c r="K96" s="2">
        <f>INDEX(Константы!$F$18:$F$22,MATCH(I96,Константы!$A$18:$A$22,0))</f>
        <v/>
      </c>
      <c r="L96" s="2">
        <f>INDEX(Константы!$C$18:$C$22,MATCH(I96,Константы!$A$18:$A$22,0))</f>
        <v/>
      </c>
      <c r="M96" s="2">
        <f>G96&amp;", "&amp;H96&amp;", "&amp;E96&amp;", "&amp;F96&amp;IF(I96="S",", Божий","")</f>
        <v/>
      </c>
      <c r="N96" s="6" t="n">
        <v>20</v>
      </c>
      <c r="O96" s="6" t="n">
        <v>12</v>
      </c>
      <c r="P96" s="6" t="n">
        <v>0</v>
      </c>
      <c r="Q96" s="6" t="n">
        <v>1</v>
      </c>
      <c r="R96" s="6" t="inlineStr">
        <is>
          <t>фикс</t>
        </is>
      </c>
      <c r="S96" s="6" t="n">
        <v>0</v>
      </c>
      <c r="T96" s="6" t="n">
        <v>25</v>
      </c>
      <c r="U96" s="6" t="n">
        <v>0</v>
      </c>
      <c r="V96" s="6" t="n">
        <v>6</v>
      </c>
      <c r="W96" s="6" t="n">
        <v>0</v>
      </c>
      <c r="X96" s="2">
        <f>Q96*IF(R96="оружие ближнее",P96*Константы!$B$3,IF(R96="оружие дальнее",P96*Константы!$B$4,P96))</f>
        <v/>
      </c>
      <c r="Y96" s="15">
        <f>INDEX(Константы!$D$18:$D$22,MATCH(I96,Константы!$A$18:$A$22,0))</f>
        <v/>
      </c>
      <c r="Z96" s="16">
        <f>X96*(1+Y96)</f>
        <v/>
      </c>
      <c r="AA96" s="16">
        <f>N96*(1-INDEX(Константы!$E$18:$E$22,MATCH(I96,Константы!$A$18:$A$22,0)))</f>
        <v/>
      </c>
      <c r="AB96" s="14">
        <f>IF(AA96&gt;0,Z96/AA96,0)</f>
        <v/>
      </c>
      <c r="AC96" s="16">
        <f>IF(O96&gt;0,Z96/O96,0)</f>
        <v/>
      </c>
      <c r="AD96" s="14">
        <f>IF(AA96&gt;0,AB96/Константы!$B$14,0)</f>
        <v/>
      </c>
      <c r="AE96" s="2">
        <f>IF(Z96=0,"без урона",IF(AD96&gt;Константы!$B$12,"перегиб",IF(AND(AA96&gt;0,AD96&lt;Константы!$B$13),"слабый","норма")))</f>
        <v/>
      </c>
      <c r="AF96" s="2" t="inlineStr">
        <is>
          <t>Дурная примета на врага: 6 с его снаряды летят мимо.</t>
        </is>
      </c>
      <c r="AG96" s="2" t="inlineStr">
        <is>
          <t>Над врагом кружит перо, стрела у него кривая.</t>
        </is>
      </c>
      <c r="AH96" s="2">
        <f>"Flat game UI rune icon, 256x256, centered on a dark slate (#1E2230) square tile. An outer "&amp;INDEX(Руны!$C$27:$C$30,MATCH(G96,Руны!$A$27:$A$30,0))&amp;", thick carved "&amp;INDEX(Руны!$F$2:$F$10,MATCH(E96,Руны!$A$2:$A$10,0))&amp;" stroke"&amp;INDEX(Руны!$G$2:$G$10,MATCH(E96,Руны!$A$2:$A$10,0))&amp;" and a "&amp;INDEX(Руны!$I$2:$I$10,MATCH(E96,Руны!$A$2:$A$10,0))&amp;" around its outside. Inside: "&amp;INDEX(Руны!$C$14:$C$23,MATCH(H96,Руны!$A$14:$A$23,0))&amp;". Chiseled straight line ends, flat vector, no perspective, faint outer glow."</f>
        <v/>
      </c>
      <c r="AI96" s="2" t="inlineStr">
        <is>
          <t>[Д] черновик</t>
        </is>
      </c>
    </row>
    <row r="97">
      <c r="A97" s="2" t="inlineStr">
        <is>
          <t>Куда</t>
        </is>
      </c>
      <c r="B97" s="2" t="inlineStr">
        <is>
          <t>Активный</t>
        </is>
      </c>
      <c r="C97" s="2" t="inlineStr">
        <is>
          <t>Берег</t>
        </is>
      </c>
      <c r="D97" s="2" t="inlineStr">
        <is>
          <t>Стрибог</t>
        </is>
      </c>
      <c r="E97" s="2" t="inlineStr">
        <is>
          <t>Ветер</t>
        </is>
      </c>
      <c r="F97" s="2" t="inlineStr">
        <is>
          <t>Саппорт</t>
        </is>
      </c>
      <c r="G97" s="2" t="inlineStr">
        <is>
          <t>чары</t>
        </is>
      </c>
      <c r="H97" s="2" t="inlineStr">
        <is>
          <t>аура</t>
        </is>
      </c>
      <c r="I97" s="2" t="inlineStr">
        <is>
          <t>B</t>
        </is>
      </c>
      <c r="J97" s="2">
        <f>INDEX(Константы!$G$18:$G$22,MATCH(I97,Константы!$A$18:$A$22,0))</f>
        <v/>
      </c>
      <c r="K97" s="2">
        <f>INDEX(Константы!$F$18:$F$22,MATCH(I97,Константы!$A$18:$A$22,0))</f>
        <v/>
      </c>
      <c r="L97" s="2">
        <f>INDEX(Константы!$C$18:$C$22,MATCH(I97,Константы!$A$18:$A$22,0))</f>
        <v/>
      </c>
      <c r="M97" s="2">
        <f>G97&amp;", "&amp;H97&amp;", "&amp;E97&amp;", "&amp;F97&amp;IF(I97="S",", Божий","")</f>
        <v/>
      </c>
      <c r="N97" s="6" t="n">
        <v>20</v>
      </c>
      <c r="O97" s="6" t="n">
        <v>20</v>
      </c>
      <c r="P97" s="6" t="n">
        <v>0</v>
      </c>
      <c r="Q97" s="6" t="n">
        <v>1</v>
      </c>
      <c r="R97" s="6" t="inlineStr">
        <is>
          <t>фикс</t>
        </is>
      </c>
      <c r="S97" s="6" t="n">
        <v>10</v>
      </c>
      <c r="T97" s="6" t="n">
        <v>0</v>
      </c>
      <c r="U97" s="6" t="n">
        <v>0</v>
      </c>
      <c r="V97" s="6" t="n">
        <v>10</v>
      </c>
      <c r="W97" s="6" t="n">
        <v>0</v>
      </c>
      <c r="X97" s="2">
        <f>Q97*IF(R97="оружие ближнее",P97*Константы!$B$3,IF(R97="оружие дальнее",P97*Константы!$B$4,P97))</f>
        <v/>
      </c>
      <c r="Y97" s="15">
        <f>INDEX(Константы!$D$18:$D$22,MATCH(I97,Константы!$A$18:$A$22,0))</f>
        <v/>
      </c>
      <c r="Z97" s="16">
        <f>X97*(1+Y97)</f>
        <v/>
      </c>
      <c r="AA97" s="16">
        <f>N97*(1-INDEX(Константы!$E$18:$E$22,MATCH(I97,Константы!$A$18:$A$22,0)))</f>
        <v/>
      </c>
      <c r="AB97" s="14">
        <f>IF(AA97&gt;0,Z97/AA97,0)</f>
        <v/>
      </c>
      <c r="AC97" s="16">
        <f>IF(O97&gt;0,Z97/O97,0)</f>
        <v/>
      </c>
      <c r="AD97" s="14">
        <f>IF(AA97&gt;0,AB97/Константы!$B$14,0)</f>
        <v/>
      </c>
      <c r="AE97" s="2">
        <f>IF(Z97=0,"без урона",IF(AD97&gt;Константы!$B$12,"перегиб",IF(AND(AA97&gt;0,AD97&lt;Константы!$B$13),"слабый","норма")))</f>
        <v/>
      </c>
      <c r="AF97" s="2" t="inlineStr">
        <is>
          <t>Аура 10 с: союзники в движении +20% урона, стоящие — без бонуса.</t>
        </is>
      </c>
      <c r="AG97" s="2" t="inlineStr">
        <is>
          <t>Флюгер над кругом, стрелка указывает путь.</t>
        </is>
      </c>
      <c r="AH97" s="2">
        <f>"Flat game UI rune icon, 256x256, centered on a dark slate (#1E2230) square tile. An outer "&amp;INDEX(Руны!$C$27:$C$30,MATCH(G97,Руны!$A$27:$A$30,0))&amp;", thick carved "&amp;INDEX(Руны!$F$2:$F$10,MATCH(E97,Руны!$A$2:$A$10,0))&amp;" stroke"&amp;INDEX(Руны!$G$2:$G$10,MATCH(E97,Руны!$A$2:$A$10,0))&amp;" and a "&amp;INDEX(Руны!$I$2:$I$10,MATCH(E97,Руны!$A$2:$A$10,0))&amp;" around its outside. Inside: "&amp;INDEX(Руны!$C$14:$C$23,MATCH(H97,Руны!$A$14:$A$23,0))&amp;". Chiseled straight line ends, flat vector, no perspective, faint outer glow."</f>
        <v/>
      </c>
      <c r="AI97" s="2" t="inlineStr">
        <is>
          <t>[Д] черновик</t>
        </is>
      </c>
    </row>
    <row r="98">
      <c r="A98" s="2" t="inlineStr">
        <is>
          <t>Вдоль ветра</t>
        </is>
      </c>
      <c r="B98" s="2" t="inlineStr">
        <is>
          <t>Активный</t>
        </is>
      </c>
      <c r="C98" s="2" t="inlineStr">
        <is>
          <t>Берег</t>
        </is>
      </c>
      <c r="D98" s="2" t="inlineStr">
        <is>
          <t>Стрибог</t>
        </is>
      </c>
      <c r="E98" s="2" t="inlineStr">
        <is>
          <t>Ветер</t>
        </is>
      </c>
      <c r="F98" s="2" t="inlineStr">
        <is>
          <t>Мобильность</t>
        </is>
      </c>
      <c r="G98" s="2" t="inlineStr">
        <is>
          <t>чары</t>
        </is>
      </c>
      <c r="H98" s="2" t="inlineStr">
        <is>
          <t>рывок</t>
        </is>
      </c>
      <c r="I98" s="2" t="inlineStr">
        <is>
          <t>D</t>
        </is>
      </c>
      <c r="J98" s="2">
        <f>INDEX(Константы!$G$18:$G$22,MATCH(I98,Константы!$A$18:$A$22,0))</f>
        <v/>
      </c>
      <c r="K98" s="2">
        <f>INDEX(Константы!$F$18:$F$22,MATCH(I98,Константы!$A$18:$A$22,0))</f>
        <v/>
      </c>
      <c r="L98" s="2">
        <f>INDEX(Константы!$C$18:$C$22,MATCH(I98,Константы!$A$18:$A$22,0))</f>
        <v/>
      </c>
      <c r="M98" s="2">
        <f>G98&amp;", "&amp;H98&amp;", "&amp;E98&amp;", "&amp;F98&amp;IF(I98="S",", Божий","")</f>
        <v/>
      </c>
      <c r="N98" s="6" t="n">
        <v>15</v>
      </c>
      <c r="O98" s="6" t="n">
        <v>5</v>
      </c>
      <c r="P98" s="6" t="n">
        <v>0</v>
      </c>
      <c r="Q98" s="6" t="n">
        <v>1</v>
      </c>
      <c r="R98" s="6" t="inlineStr">
        <is>
          <t>фикс</t>
        </is>
      </c>
      <c r="S98" s="6" t="n">
        <v>0</v>
      </c>
      <c r="T98" s="6" t="n">
        <v>6</v>
      </c>
      <c r="U98" s="6" t="n">
        <v>0</v>
      </c>
      <c r="V98" s="6" t="n">
        <v>0</v>
      </c>
      <c r="W98" s="6" t="n">
        <v>0</v>
      </c>
      <c r="X98" s="2">
        <f>Q98*IF(R98="оружие ближнее",P98*Константы!$B$3,IF(R98="оружие дальнее",P98*Константы!$B$4,P98))</f>
        <v/>
      </c>
      <c r="Y98" s="15">
        <f>INDEX(Константы!$D$18:$D$22,MATCH(I98,Константы!$A$18:$A$22,0))</f>
        <v/>
      </c>
      <c r="Z98" s="16">
        <f>X98*(1+Y98)</f>
        <v/>
      </c>
      <c r="AA98" s="16">
        <f>N98*(1-INDEX(Константы!$E$18:$E$22,MATCH(I98,Константы!$A$18:$A$22,0)))</f>
        <v/>
      </c>
      <c r="AB98" s="14">
        <f>IF(AA98&gt;0,Z98/AA98,0)</f>
        <v/>
      </c>
      <c r="AC98" s="16">
        <f>IF(O98&gt;0,Z98/O98,0)</f>
        <v/>
      </c>
      <c r="AD98" s="14">
        <f>IF(AA98&gt;0,AB98/Константы!$B$14,0)</f>
        <v/>
      </c>
      <c r="AE98" s="2">
        <f>IF(Z98=0,"без урона",IF(AD98&gt;Константы!$B$12,"перегиб",IF(AND(AA98&gt;0,AD98&lt;Константы!$B$13),"слабый","норма")))</f>
        <v/>
      </c>
      <c r="AF98" s="2" t="inlineStr">
        <is>
          <t>Короткий рывок, 2 заряда; 0,2 с неуязвимости.</t>
        </is>
      </c>
      <c r="AG98" s="2" t="inlineStr">
        <is>
          <t>Два коротких росчерка ветра подряд.</t>
        </is>
      </c>
      <c r="AH98" s="2">
        <f>"Flat game UI rune icon, 256x256, centered on a dark slate (#1E2230) square tile. An outer "&amp;INDEX(Руны!$C$27:$C$30,MATCH(G98,Руны!$A$27:$A$30,0))&amp;", thick carved "&amp;INDEX(Руны!$F$2:$F$10,MATCH(E98,Руны!$A$2:$A$10,0))&amp;" stroke"&amp;INDEX(Руны!$G$2:$G$10,MATCH(E98,Руны!$A$2:$A$10,0))&amp;" and a "&amp;INDEX(Руны!$I$2:$I$10,MATCH(E98,Руны!$A$2:$A$10,0))&amp;" around its outside. Inside: "&amp;INDEX(Руны!$C$14:$C$23,MATCH(H98,Руны!$A$14:$A$23,0))&amp;". Chiseled straight line ends, flat vector, no perspective, faint outer glow."</f>
        <v/>
      </c>
      <c r="AI98" s="2" t="inlineStr">
        <is>
          <t>[Д] черновик</t>
        </is>
      </c>
    </row>
    <row r="99">
      <c r="A99" s="2" t="inlineStr">
        <is>
          <t>Весь путь</t>
        </is>
      </c>
      <c r="B99" s="2" t="inlineStr">
        <is>
          <t>Активный</t>
        </is>
      </c>
      <c r="C99" s="2" t="inlineStr">
        <is>
          <t>Берег</t>
        </is>
      </c>
      <c r="D99" s="2" t="inlineStr">
        <is>
          <t>Стрибог</t>
        </is>
      </c>
      <c r="E99" s="2" t="inlineStr">
        <is>
          <t>Ветер</t>
        </is>
      </c>
      <c r="F99" s="2" t="inlineStr">
        <is>
          <t>Мобильность</t>
        </is>
      </c>
      <c r="G99" s="2" t="inlineStr">
        <is>
          <t>чары</t>
        </is>
      </c>
      <c r="H99" s="2" t="inlineStr">
        <is>
          <t>рывок</t>
        </is>
      </c>
      <c r="I99" s="2" t="inlineStr">
        <is>
          <t>S</t>
        </is>
      </c>
      <c r="J99" s="2">
        <f>INDEX(Константы!$G$18:$G$22,MATCH(I99,Константы!$A$18:$A$22,0))</f>
        <v/>
      </c>
      <c r="K99" s="2">
        <f>INDEX(Константы!$F$18:$F$22,MATCH(I99,Константы!$A$18:$A$22,0))</f>
        <v/>
      </c>
      <c r="L99" s="2">
        <f>INDEX(Константы!$C$18:$C$22,MATCH(I99,Константы!$A$18:$A$22,0))</f>
        <v/>
      </c>
      <c r="M99" s="2">
        <f>G99&amp;", "&amp;H99&amp;", "&amp;E99&amp;", "&amp;F99&amp;IF(I99="S",", Божий","")</f>
        <v/>
      </c>
      <c r="N99" s="6" t="n">
        <v>35</v>
      </c>
      <c r="O99" s="6" t="n">
        <v>30</v>
      </c>
      <c r="P99" s="6" t="n">
        <v>40</v>
      </c>
      <c r="Q99" s="6" t="n">
        <v>1</v>
      </c>
      <c r="R99" s="6" t="inlineStr">
        <is>
          <t>фикс</t>
        </is>
      </c>
      <c r="S99" s="6" t="n">
        <v>0</v>
      </c>
      <c r="T99" s="6" t="n">
        <v>40</v>
      </c>
      <c r="U99" s="6" t="n">
        <v>0</v>
      </c>
      <c r="V99" s="6" t="n">
        <v>0</v>
      </c>
      <c r="W99" s="6" t="n">
        <v>0</v>
      </c>
      <c r="X99" s="2">
        <f>Q99*IF(R99="оружие ближнее",P99*Константы!$B$3,IF(R99="оружие дальнее",P99*Константы!$B$4,P99))</f>
        <v/>
      </c>
      <c r="Y99" s="15">
        <f>INDEX(Константы!$D$18:$D$22,MATCH(I99,Константы!$A$18:$A$22,0))</f>
        <v/>
      </c>
      <c r="Z99" s="16">
        <f>X99*(1+Y99)</f>
        <v/>
      </c>
      <c r="AA99" s="16">
        <f>N99*(1-INDEX(Константы!$E$18:$E$22,MATCH(I99,Константы!$A$18:$A$22,0)))</f>
        <v/>
      </c>
      <c r="AB99" s="14">
        <f>IF(AA99&gt;0,Z99/AA99,0)</f>
        <v/>
      </c>
      <c r="AC99" s="16">
        <f>IF(O99&gt;0,Z99/O99,0)</f>
        <v/>
      </c>
      <c r="AD99" s="14">
        <f>IF(AA99&gt;0,AB99/Константы!$B$14,0)</f>
        <v/>
      </c>
      <c r="AE99" s="2">
        <f>IF(Z99=0,"без урона",IF(AD99&gt;Константы!$B$12,"перегиб",IF(AND(AA99&gt;0,AD99&lt;Константы!$B$13),"слабый","норма")))</f>
        <v/>
      </c>
      <c r="AF99" s="2" t="inlineStr">
        <is>
          <t>Путь 40 м через точки-приметы: урон всем врагам на пути, неуязвимость в полёте.</t>
        </is>
      </c>
      <c r="AG99" s="2" t="inlineStr">
        <is>
          <t>Длинная ломаная линия от берега к горизонту, по ней несётся герой.</t>
        </is>
      </c>
      <c r="AH99" s="2">
        <f>"Flat game UI rune icon, 256x256, centered on a dark slate (#1E2230) square tile. An outer "&amp;INDEX(Руны!$C$27:$C$30,MATCH(G99,Руны!$A$27:$A$30,0))&amp;", thick carved "&amp;INDEX(Руны!$F$2:$F$10,MATCH(E99,Руны!$A$2:$A$10,0))&amp;" stroke"&amp;INDEX(Руны!$G$2:$G$10,MATCH(E99,Руны!$A$2:$A$10,0))&amp;" and a "&amp;INDEX(Руны!$I$2:$I$10,MATCH(E99,Руны!$A$2:$A$10,0))&amp;" around its outside. Inside: "&amp;INDEX(Руны!$C$14:$C$23,MATCH(H99,Руны!$A$14:$A$23,0))&amp;". Chiseled straight line ends, flat vector, no perspective, faint outer glow."</f>
        <v/>
      </c>
      <c r="AI99" s="2" t="inlineStr">
        <is>
          <t>[Д] черновик</t>
        </is>
      </c>
    </row>
    <row r="100">
      <c r="A100" s="2" t="inlineStr">
        <is>
          <t>Молот</t>
        </is>
      </c>
      <c r="B100" s="2" t="inlineStr">
        <is>
          <t>Активный</t>
        </is>
      </c>
      <c r="C100" s="2" t="inlineStr">
        <is>
          <t>Горнило</t>
        </is>
      </c>
      <c r="D100" s="2" t="inlineStr">
        <is>
          <t>Сварог</t>
        </is>
      </c>
      <c r="E100" s="2" t="inlineStr">
        <is>
          <t>Жар</t>
        </is>
      </c>
      <c r="F100" s="2" t="inlineStr">
        <is>
          <t>Мили-ДД</t>
        </is>
      </c>
      <c r="G100" s="2" t="inlineStr">
        <is>
          <t>удар</t>
        </is>
      </c>
      <c r="H100" s="2" t="inlineStr">
        <is>
          <t>площадь</t>
        </is>
      </c>
      <c r="I100" s="2" t="inlineStr">
        <is>
          <t>D</t>
        </is>
      </c>
      <c r="J100" s="2">
        <f>INDEX(Константы!$G$18:$G$22,MATCH(I100,Константы!$A$18:$A$22,0))</f>
        <v/>
      </c>
      <c r="K100" s="2">
        <f>INDEX(Константы!$F$18:$F$22,MATCH(I100,Константы!$A$18:$A$22,0))</f>
        <v/>
      </c>
      <c r="L100" s="2">
        <f>INDEX(Константы!$C$18:$C$22,MATCH(I100,Константы!$A$18:$A$22,0))</f>
        <v/>
      </c>
      <c r="M100" s="2">
        <f>G100&amp;", "&amp;H100&amp;", "&amp;E100&amp;", "&amp;F100&amp;IF(I100="S",", Божий","")</f>
        <v/>
      </c>
      <c r="N100" s="6" t="n">
        <v>20</v>
      </c>
      <c r="O100" s="6" t="n">
        <v>4</v>
      </c>
      <c r="P100" s="6" t="n">
        <v>1.9</v>
      </c>
      <c r="Q100" s="6" t="n">
        <v>1</v>
      </c>
      <c r="R100" s="6" t="inlineStr">
        <is>
          <t>оружие ближнее</t>
        </is>
      </c>
      <c r="S100" s="6" t="n">
        <v>3</v>
      </c>
      <c r="T100" s="6" t="n">
        <v>0</v>
      </c>
      <c r="U100" s="6" t="n">
        <v>0</v>
      </c>
      <c r="V100" s="6" t="n">
        <v>0</v>
      </c>
      <c r="W100" s="6" t="n">
        <v>0</v>
      </c>
      <c r="X100" s="2">
        <f>Q100*IF(R100="оружие ближнее",P100*Константы!$B$3,IF(R100="оружие дальнее",P100*Константы!$B$4,P100))</f>
        <v/>
      </c>
      <c r="Y100" s="15">
        <f>INDEX(Константы!$D$18:$D$22,MATCH(I100,Константы!$A$18:$A$22,0))</f>
        <v/>
      </c>
      <c r="Z100" s="16">
        <f>X100*(1+Y100)</f>
        <v/>
      </c>
      <c r="AA100" s="16">
        <f>N100*(1-INDEX(Константы!$E$18:$E$22,MATCH(I100,Константы!$A$18:$A$22,0)))</f>
        <v/>
      </c>
      <c r="AB100" s="14">
        <f>IF(AA100&gt;0,Z100/AA100,0)</f>
        <v/>
      </c>
      <c r="AC100" s="16">
        <f>IF(O100&gt;0,Z100/O100,0)</f>
        <v/>
      </c>
      <c r="AD100" s="14">
        <f>IF(AA100&gt;0,AB100/Константы!$B$14,0)</f>
        <v/>
      </c>
      <c r="AE100" s="2">
        <f>IF(Z100=0,"без урона",IF(AD100&gt;Константы!$B$12,"перегиб",IF(AND(AA100&gt;0,AD100&lt;Константы!$B$13),"слабый","норма")))</f>
        <v/>
      </c>
      <c r="AF100" s="2" t="inlineStr">
        <is>
          <t>Кузнечный удар; каждый третий удар оставляет раскалённую заготовку.</t>
        </is>
      </c>
      <c r="AG100" s="2" t="inlineStr">
        <is>
          <t>Молот над наковальней, искры веером.</t>
        </is>
      </c>
      <c r="AH100" s="2">
        <f>"Flat game UI rune icon, 256x256, centered on a dark slate (#1E2230) square tile. An outer "&amp;INDEX(Руны!$C$27:$C$30,MATCH(G100,Руны!$A$27:$A$30,0))&amp;", thick carved "&amp;INDEX(Руны!$F$2:$F$10,MATCH(E100,Руны!$A$2:$A$10,0))&amp;" stroke"&amp;INDEX(Руны!$G$2:$G$10,MATCH(E100,Руны!$A$2:$A$10,0))&amp;" and a "&amp;INDEX(Руны!$I$2:$I$10,MATCH(E100,Руны!$A$2:$A$10,0))&amp;" around its outside. Inside: "&amp;INDEX(Руны!$C$14:$C$23,MATCH(H100,Руны!$A$14:$A$23,0))&amp;". Chiseled straight line ends, flat vector, no perspective, faint outer glow."</f>
        <v/>
      </c>
      <c r="AI100" s="2" t="inlineStr">
        <is>
          <t>[Д] черновик</t>
        </is>
      </c>
    </row>
    <row r="101">
      <c r="A101" s="2" t="inlineStr">
        <is>
          <t>Ковка</t>
        </is>
      </c>
      <c r="B101" s="2" t="inlineStr">
        <is>
          <t>Активный</t>
        </is>
      </c>
      <c r="C101" s="2" t="inlineStr">
        <is>
          <t>Горнило</t>
        </is>
      </c>
      <c r="D101" s="2" t="inlineStr">
        <is>
          <t>Сварог</t>
        </is>
      </c>
      <c r="E101" s="2" t="inlineStr">
        <is>
          <t>Жар</t>
        </is>
      </c>
      <c r="F101" s="2" t="inlineStr">
        <is>
          <t>Мили-ДД</t>
        </is>
      </c>
      <c r="G101" s="2" t="inlineStr">
        <is>
          <t>удар</t>
        </is>
      </c>
      <c r="H101" s="2" t="inlineStr">
        <is>
          <t>площадь</t>
        </is>
      </c>
      <c r="I101" s="2" t="inlineStr">
        <is>
          <t>S</t>
        </is>
      </c>
      <c r="J101" s="2">
        <f>INDEX(Константы!$G$18:$G$22,MATCH(I101,Константы!$A$18:$A$22,0))</f>
        <v/>
      </c>
      <c r="K101" s="2">
        <f>INDEX(Константы!$F$18:$F$22,MATCH(I101,Константы!$A$18:$A$22,0))</f>
        <v/>
      </c>
      <c r="L101" s="2">
        <f>INDEX(Константы!$C$18:$C$22,MATCH(I101,Константы!$A$18:$A$22,0))</f>
        <v/>
      </c>
      <c r="M101" s="2">
        <f>G101&amp;", "&amp;H101&amp;", "&amp;E101&amp;", "&amp;F101&amp;IF(I101="S",", Божий","")</f>
        <v/>
      </c>
      <c r="N101" s="6" t="n">
        <v>35</v>
      </c>
      <c r="O101" s="6" t="n">
        <v>20</v>
      </c>
      <c r="P101" s="6" t="n">
        <v>4</v>
      </c>
      <c r="Q101" s="6" t="n">
        <v>1</v>
      </c>
      <c r="R101" s="6" t="inlineStr">
        <is>
          <t>оружие ближнее</t>
        </is>
      </c>
      <c r="S101" s="6" t="n">
        <v>6</v>
      </c>
      <c r="T101" s="6" t="n">
        <v>0</v>
      </c>
      <c r="U101" s="6" t="n">
        <v>0</v>
      </c>
      <c r="V101" s="6" t="n">
        <v>0</v>
      </c>
      <c r="W101" s="6" t="n">
        <v>0.6</v>
      </c>
      <c r="X101" s="2">
        <f>Q101*IF(R101="оружие ближнее",P101*Константы!$B$3,IF(R101="оружие дальнее",P101*Константы!$B$4,P101))</f>
        <v/>
      </c>
      <c r="Y101" s="15">
        <f>INDEX(Константы!$D$18:$D$22,MATCH(I101,Константы!$A$18:$A$22,0))</f>
        <v/>
      </c>
      <c r="Z101" s="16">
        <f>X101*(1+Y101)</f>
        <v/>
      </c>
      <c r="AA101" s="16">
        <f>N101*(1-INDEX(Константы!$E$18:$E$22,MATCH(I101,Константы!$A$18:$A$22,0)))</f>
        <v/>
      </c>
      <c r="AB101" s="14">
        <f>IF(AA101&gt;0,Z101/AA101,0)</f>
        <v/>
      </c>
      <c r="AC101" s="16">
        <f>IF(O101&gt;0,Z101/O101,0)</f>
        <v/>
      </c>
      <c r="AD101" s="14">
        <f>IF(AA101&gt;0,AB101/Константы!$B$14,0)</f>
        <v/>
      </c>
      <c r="AE101" s="2">
        <f>IF(Z101=0,"без урона",IF(AD101&gt;Константы!$B$12,"перегиб",IF(AND(AA101&gt;0,AD101&lt;Константы!$B$13),"слабый","норма")))</f>
        <v/>
      </c>
      <c r="AF101" s="2" t="inlineStr">
        <is>
          <t>Бьёт по всем заготовкам разом: каждая взрывается, урон +20% за заготовку.</t>
        </is>
      </c>
      <c r="AG101" s="2" t="inlineStr">
        <is>
          <t>Кольцо наковален, по всем бьёт один огромный молот.</t>
        </is>
      </c>
      <c r="AH101" s="2">
        <f>"Flat game UI rune icon, 256x256, centered on a dark slate (#1E2230) square tile. An outer "&amp;INDEX(Руны!$C$27:$C$30,MATCH(G101,Руны!$A$27:$A$30,0))&amp;", thick carved "&amp;INDEX(Руны!$F$2:$F$10,MATCH(E101,Руны!$A$2:$A$10,0))&amp;" stroke"&amp;INDEX(Руны!$G$2:$G$10,MATCH(E101,Руны!$A$2:$A$10,0))&amp;" and a "&amp;INDEX(Руны!$I$2:$I$10,MATCH(E101,Руны!$A$2:$A$10,0))&amp;" around its outside. Inside: "&amp;INDEX(Руны!$C$14:$C$23,MATCH(H101,Руны!$A$14:$A$23,0))&amp;". Chiseled straight line ends, flat vector, no perspective, faint outer glow."</f>
        <v/>
      </c>
      <c r="AI101" s="2" t="inlineStr">
        <is>
          <t>[Д] черновик</t>
        </is>
      </c>
    </row>
    <row r="102">
      <c r="A102" s="2" t="inlineStr">
        <is>
          <t>Окалина</t>
        </is>
      </c>
      <c r="B102" s="2" t="inlineStr">
        <is>
          <t>Активный</t>
        </is>
      </c>
      <c r="C102" s="2" t="inlineStr">
        <is>
          <t>Горнило</t>
        </is>
      </c>
      <c r="D102" s="2" t="inlineStr">
        <is>
          <t>Сварог</t>
        </is>
      </c>
      <c r="E102" s="2" t="inlineStr">
        <is>
          <t>Жар</t>
        </is>
      </c>
      <c r="F102" s="2" t="inlineStr">
        <is>
          <t>Ренж-ДД</t>
        </is>
      </c>
      <c r="G102" s="2" t="inlineStr">
        <is>
          <t>выстрел</t>
        </is>
      </c>
      <c r="H102" s="2" t="inlineStr">
        <is>
          <t>снаряд</t>
        </is>
      </c>
      <c r="I102" s="2" t="inlineStr">
        <is>
          <t>D</t>
        </is>
      </c>
      <c r="J102" s="2">
        <f>INDEX(Константы!$G$18:$G$22,MATCH(I102,Константы!$A$18:$A$22,0))</f>
        <v/>
      </c>
      <c r="K102" s="2">
        <f>INDEX(Константы!$F$18:$F$22,MATCH(I102,Константы!$A$18:$A$22,0))</f>
        <v/>
      </c>
      <c r="L102" s="2">
        <f>INDEX(Константы!$C$18:$C$22,MATCH(I102,Константы!$A$18:$A$22,0))</f>
        <v/>
      </c>
      <c r="M102" s="2">
        <f>G102&amp;", "&amp;H102&amp;", "&amp;E102&amp;", "&amp;F102&amp;IF(I102="S",", Божий","")</f>
        <v/>
      </c>
      <c r="N102" s="6" t="n">
        <v>10</v>
      </c>
      <c r="O102" s="6" t="n">
        <v>2</v>
      </c>
      <c r="P102" s="6" t="n">
        <v>1.2</v>
      </c>
      <c r="Q102" s="6" t="n">
        <v>1</v>
      </c>
      <c r="R102" s="6" t="inlineStr">
        <is>
          <t>оружие дальнее</t>
        </is>
      </c>
      <c r="S102" s="6" t="n">
        <v>0</v>
      </c>
      <c r="T102" s="6" t="n">
        <v>35</v>
      </c>
      <c r="U102" s="6" t="n">
        <v>0</v>
      </c>
      <c r="V102" s="6" t="n">
        <v>0</v>
      </c>
      <c r="W102" s="6" t="n">
        <v>0</v>
      </c>
      <c r="X102" s="2">
        <f>Q102*IF(R102="оружие ближнее",P102*Константы!$B$3,IF(R102="оружие дальнее",P102*Константы!$B$4,P102))</f>
        <v/>
      </c>
      <c r="Y102" s="15">
        <f>INDEX(Константы!$D$18:$D$22,MATCH(I102,Константы!$A$18:$A$22,0))</f>
        <v/>
      </c>
      <c r="Z102" s="16">
        <f>X102*(1+Y102)</f>
        <v/>
      </c>
      <c r="AA102" s="16">
        <f>N102*(1-INDEX(Константы!$E$18:$E$22,MATCH(I102,Константы!$A$18:$A$22,0)))</f>
        <v/>
      </c>
      <c r="AB102" s="14">
        <f>IF(AA102&gt;0,Z102/AA102,0)</f>
        <v/>
      </c>
      <c r="AC102" s="16">
        <f>IF(O102&gt;0,Z102/O102,0)</f>
        <v/>
      </c>
      <c r="AD102" s="14">
        <f>IF(AA102&gt;0,AB102/Константы!$B$14,0)</f>
        <v/>
      </c>
      <c r="AE102" s="2">
        <f>IF(Z102=0,"без урона",IF(AD102&gt;Константы!$B$12,"перегиб",IF(AND(AA102&gt;0,AD102&lt;Константы!$B$13),"слабый","норма")))</f>
        <v/>
      </c>
      <c r="AF102" s="2" t="inlineStr">
        <is>
          <t>Выстрел раскалённой окалиной; попадание в заготовку раскаляет её.</t>
        </is>
      </c>
      <c r="AG102" s="2" t="inlineStr">
        <is>
          <t>Раскалённая чешуя металла летит с шипением.</t>
        </is>
      </c>
      <c r="AH102" s="2">
        <f>"Flat game UI rune icon, 256x256, centered on a dark slate (#1E2230) square tile. An outer "&amp;INDEX(Руны!$C$27:$C$30,MATCH(G102,Руны!$A$27:$A$30,0))&amp;", thick carved "&amp;INDEX(Руны!$F$2:$F$10,MATCH(E102,Руны!$A$2:$A$10,0))&amp;" stroke"&amp;INDEX(Руны!$G$2:$G$10,MATCH(E102,Руны!$A$2:$A$10,0))&amp;" and a "&amp;INDEX(Руны!$I$2:$I$10,MATCH(E102,Руны!$A$2:$A$10,0))&amp;" around its outside. Inside: "&amp;INDEX(Руны!$C$14:$C$23,MATCH(H102,Руны!$A$14:$A$23,0))&amp;". Chiseled straight line ends, flat vector, no perspective, faint outer glow."</f>
        <v/>
      </c>
      <c r="AI102" s="2" t="inlineStr">
        <is>
          <t>[Д] черновик</t>
        </is>
      </c>
    </row>
    <row r="103">
      <c r="A103" s="2" t="inlineStr">
        <is>
          <t>Клеймо</t>
        </is>
      </c>
      <c r="B103" s="2" t="inlineStr">
        <is>
          <t>Активный</t>
        </is>
      </c>
      <c r="C103" s="2" t="inlineStr">
        <is>
          <t>Горнило</t>
        </is>
      </c>
      <c r="D103" s="2" t="inlineStr">
        <is>
          <t>Сварог</t>
        </is>
      </c>
      <c r="E103" s="2" t="inlineStr">
        <is>
          <t>Жар</t>
        </is>
      </c>
      <c r="F103" s="2" t="inlineStr">
        <is>
          <t>Ренж-ДД</t>
        </is>
      </c>
      <c r="G103" s="2" t="inlineStr">
        <is>
          <t>выстрел</t>
        </is>
      </c>
      <c r="H103" s="2" t="inlineStr">
        <is>
          <t>дебафф</t>
        </is>
      </c>
      <c r="I103" s="2" t="inlineStr">
        <is>
          <t>C</t>
        </is>
      </c>
      <c r="J103" s="2">
        <f>INDEX(Константы!$G$18:$G$22,MATCH(I103,Константы!$A$18:$A$22,0))</f>
        <v/>
      </c>
      <c r="K103" s="2">
        <f>INDEX(Константы!$F$18:$F$22,MATCH(I103,Константы!$A$18:$A$22,0))</f>
        <v/>
      </c>
      <c r="L103" s="2">
        <f>INDEX(Константы!$C$18:$C$22,MATCH(I103,Константы!$A$18:$A$22,0))</f>
        <v/>
      </c>
      <c r="M103" s="2">
        <f>G103&amp;", "&amp;H103&amp;", "&amp;E103&amp;", "&amp;F103&amp;IF(I103="S",", Божий","")</f>
        <v/>
      </c>
      <c r="N103" s="6" t="n">
        <v>25</v>
      </c>
      <c r="O103" s="6" t="n">
        <v>8</v>
      </c>
      <c r="P103" s="6" t="n">
        <v>1.4</v>
      </c>
      <c r="Q103" s="6" t="n">
        <v>1</v>
      </c>
      <c r="R103" s="6" t="inlineStr">
        <is>
          <t>оружие дальнее</t>
        </is>
      </c>
      <c r="S103" s="6" t="n">
        <v>0</v>
      </c>
      <c r="T103" s="6" t="n">
        <v>35</v>
      </c>
      <c r="U103" s="6" t="n">
        <v>0</v>
      </c>
      <c r="V103" s="6" t="n">
        <v>10</v>
      </c>
      <c r="W103" s="6" t="n">
        <v>0</v>
      </c>
      <c r="X103" s="2">
        <f>Q103*IF(R103="оружие ближнее",P103*Константы!$B$3,IF(R103="оружие дальнее",P103*Константы!$B$4,P103))</f>
        <v/>
      </c>
      <c r="Y103" s="15">
        <f>INDEX(Константы!$D$18:$D$22,MATCH(I103,Константы!$A$18:$A$22,0))</f>
        <v/>
      </c>
      <c r="Z103" s="16">
        <f>X103*(1+Y103)</f>
        <v/>
      </c>
      <c r="AA103" s="16">
        <f>N103*(1-INDEX(Константы!$E$18:$E$22,MATCH(I103,Константы!$A$18:$A$22,0)))</f>
        <v/>
      </c>
      <c r="AB103" s="14">
        <f>IF(AA103&gt;0,Z103/AA103,0)</f>
        <v/>
      </c>
      <c r="AC103" s="16">
        <f>IF(O103&gt;0,Z103/O103,0)</f>
        <v/>
      </c>
      <c r="AD103" s="14">
        <f>IF(AA103&gt;0,AB103/Константы!$B$14,0)</f>
        <v/>
      </c>
      <c r="AE103" s="2">
        <f>IF(Z103=0,"без урона",IF(AD103&gt;Константы!$B$12,"перегиб",IF(AND(AA103&gt;0,AD103&lt;Константы!$B$13),"слабый","норма")))</f>
        <v/>
      </c>
      <c r="AF103" s="2" t="inlineStr">
        <is>
          <t>Выжигает клеймо на 10 с: клеймёные получают +20% урона от турелей.</t>
        </is>
      </c>
      <c r="AG103" s="2" t="inlineStr">
        <is>
          <t>Раскалённое клеймо-знак на броне врага.</t>
        </is>
      </c>
      <c r="AH103" s="2">
        <f>"Flat game UI rune icon, 256x256, centered on a dark slate (#1E2230) square tile. An outer "&amp;INDEX(Руны!$C$27:$C$30,MATCH(G103,Руны!$A$27:$A$30,0))&amp;", thick carved "&amp;INDEX(Руны!$F$2:$F$10,MATCH(E103,Руны!$A$2:$A$10,0))&amp;" stroke"&amp;INDEX(Руны!$G$2:$G$10,MATCH(E103,Руны!$A$2:$A$10,0))&amp;" and a "&amp;INDEX(Руны!$I$2:$I$10,MATCH(E103,Руны!$A$2:$A$10,0))&amp;" around its outside. Inside: "&amp;INDEX(Руны!$C$14:$C$23,MATCH(H103,Руны!$A$14:$A$23,0))&amp;". Chiseled straight line ends, flat vector, no perspective, faint outer glow."</f>
        <v/>
      </c>
      <c r="AI103" s="2" t="inlineStr">
        <is>
          <t>[Д] черновик</t>
        </is>
      </c>
    </row>
    <row r="104">
      <c r="A104" s="2" t="inlineStr">
        <is>
          <t>Наковальня</t>
        </is>
      </c>
      <c r="B104" s="2" t="inlineStr">
        <is>
          <t>Активный</t>
        </is>
      </c>
      <c r="C104" s="2" t="inlineStr">
        <is>
          <t>Горнило</t>
        </is>
      </c>
      <c r="D104" s="2" t="inlineStr">
        <is>
          <t>Сварог</t>
        </is>
      </c>
      <c r="E104" s="2" t="inlineStr">
        <is>
          <t>Жар</t>
        </is>
      </c>
      <c r="F104" s="2" t="inlineStr">
        <is>
          <t>Танк</t>
        </is>
      </c>
      <c r="G104" s="2" t="inlineStr">
        <is>
          <t>чары</t>
        </is>
      </c>
      <c r="H104" s="2" t="inlineStr">
        <is>
          <t>щит</t>
        </is>
      </c>
      <c r="I104" s="2" t="inlineStr">
        <is>
          <t>D</t>
        </is>
      </c>
      <c r="J104" s="2">
        <f>INDEX(Константы!$G$18:$G$22,MATCH(I104,Константы!$A$18:$A$22,0))</f>
        <v/>
      </c>
      <c r="K104" s="2">
        <f>INDEX(Константы!$F$18:$F$22,MATCH(I104,Константы!$A$18:$A$22,0))</f>
        <v/>
      </c>
      <c r="L104" s="2">
        <f>INDEX(Константы!$C$18:$C$22,MATCH(I104,Константы!$A$18:$A$22,0))</f>
        <v/>
      </c>
      <c r="M104" s="2">
        <f>G104&amp;", "&amp;H104&amp;", "&amp;E104&amp;", "&amp;F104&amp;IF(I104="S",", Божий","")</f>
        <v/>
      </c>
      <c r="N104" s="6" t="n">
        <v>25</v>
      </c>
      <c r="O104" s="6" t="n">
        <v>16</v>
      </c>
      <c r="P104" s="6" t="n">
        <v>0</v>
      </c>
      <c r="Q104" s="6" t="n">
        <v>1</v>
      </c>
      <c r="R104" s="6" t="inlineStr">
        <is>
          <t>фикс</t>
        </is>
      </c>
      <c r="S104" s="6" t="n">
        <v>0</v>
      </c>
      <c r="T104" s="6" t="n">
        <v>5</v>
      </c>
      <c r="U104" s="6" t="n">
        <v>0</v>
      </c>
      <c r="V104" s="6" t="n">
        <v>10</v>
      </c>
      <c r="W104" s="6" t="n">
        <v>0</v>
      </c>
      <c r="X104" s="2">
        <f>Q104*IF(R104="оружие ближнее",P104*Константы!$B$3,IF(R104="оружие дальнее",P104*Константы!$B$4,P104))</f>
        <v/>
      </c>
      <c r="Y104" s="15">
        <f>INDEX(Константы!$D$18:$D$22,MATCH(I104,Константы!$A$18:$A$22,0))</f>
        <v/>
      </c>
      <c r="Z104" s="16">
        <f>X104*(1+Y104)</f>
        <v/>
      </c>
      <c r="AA104" s="16">
        <f>N104*(1-INDEX(Константы!$E$18:$E$22,MATCH(I104,Константы!$A$18:$A$22,0)))</f>
        <v/>
      </c>
      <c r="AB104" s="14">
        <f>IF(AA104&gt;0,Z104/AA104,0)</f>
        <v/>
      </c>
      <c r="AC104" s="16">
        <f>IF(O104&gt;0,Z104/O104,0)</f>
        <v/>
      </c>
      <c r="AD104" s="14">
        <f>IF(AA104&gt;0,AB104/Константы!$B$14,0)</f>
        <v/>
      </c>
      <c r="AE104" s="2">
        <f>IF(Z104=0,"без урона",IF(AD104&gt;Константы!$B$12,"перегиб",IF(AND(AA104&gt;0,AD104&lt;Константы!$B$13),"слабый","норма")))</f>
        <v/>
      </c>
      <c r="AF104" s="2" t="inlineStr">
        <is>
          <t>Ставит наковальню на 10 с: укрытие; удар по ней = заготовка.</t>
        </is>
      </c>
      <c r="AG104" s="2" t="inlineStr">
        <is>
          <t>Чёрная наковальня на треснувшем камне.</t>
        </is>
      </c>
      <c r="AH104" s="2">
        <f>"Flat game UI rune icon, 256x256, centered on a dark slate (#1E2230) square tile. An outer "&amp;INDEX(Руны!$C$27:$C$30,MATCH(G104,Руны!$A$27:$A$30,0))&amp;", thick carved "&amp;INDEX(Руны!$F$2:$F$10,MATCH(E104,Руны!$A$2:$A$10,0))&amp;" stroke"&amp;INDEX(Руны!$G$2:$G$10,MATCH(E104,Руны!$A$2:$A$10,0))&amp;" and a "&amp;INDEX(Руны!$I$2:$I$10,MATCH(E104,Руны!$A$2:$A$10,0))&amp;" around its outside. Inside: "&amp;INDEX(Руны!$C$14:$C$23,MATCH(H104,Руны!$A$14:$A$23,0))&amp;". Chiseled straight line ends, flat vector, no perspective, faint outer glow."</f>
        <v/>
      </c>
      <c r="AI104" s="2" t="inlineStr">
        <is>
          <t>[Д] черновик</t>
        </is>
      </c>
    </row>
    <row r="105">
      <c r="A105" s="2" t="inlineStr">
        <is>
          <t>Закалка</t>
        </is>
      </c>
      <c r="B105" s="2" t="inlineStr">
        <is>
          <t>Активный</t>
        </is>
      </c>
      <c r="C105" s="2" t="inlineStr">
        <is>
          <t>Горнило</t>
        </is>
      </c>
      <c r="D105" s="2" t="inlineStr">
        <is>
          <t>Сварог</t>
        </is>
      </c>
      <c r="E105" s="2" t="inlineStr">
        <is>
          <t>Жар</t>
        </is>
      </c>
      <c r="F105" s="2" t="inlineStr">
        <is>
          <t>Танк</t>
        </is>
      </c>
      <c r="G105" s="2" t="inlineStr">
        <is>
          <t>чары</t>
        </is>
      </c>
      <c r="H105" s="2" t="inlineStr">
        <is>
          <t>щит</t>
        </is>
      </c>
      <c r="I105" s="2" t="inlineStr">
        <is>
          <t>B</t>
        </is>
      </c>
      <c r="J105" s="2">
        <f>INDEX(Константы!$G$18:$G$22,MATCH(I105,Константы!$A$18:$A$22,0))</f>
        <v/>
      </c>
      <c r="K105" s="2">
        <f>INDEX(Константы!$F$18:$F$22,MATCH(I105,Константы!$A$18:$A$22,0))</f>
        <v/>
      </c>
      <c r="L105" s="2">
        <f>INDEX(Константы!$C$18:$C$22,MATCH(I105,Константы!$A$18:$A$22,0))</f>
        <v/>
      </c>
      <c r="M105" s="2">
        <f>G105&amp;", "&amp;H105&amp;", "&amp;E105&amp;", "&amp;F105&amp;IF(I105="S",", Божий","")</f>
        <v/>
      </c>
      <c r="N105" s="6" t="n">
        <v>30</v>
      </c>
      <c r="O105" s="6" t="n">
        <v>20</v>
      </c>
      <c r="P105" s="6" t="n">
        <v>0</v>
      </c>
      <c r="Q105" s="6" t="n">
        <v>1</v>
      </c>
      <c r="R105" s="6" t="inlineStr">
        <is>
          <t>фикс</t>
        </is>
      </c>
      <c r="S105" s="6" t="n">
        <v>0</v>
      </c>
      <c r="T105" s="6" t="n">
        <v>0</v>
      </c>
      <c r="U105" s="6" t="n">
        <v>0</v>
      </c>
      <c r="V105" s="6" t="n">
        <v>5</v>
      </c>
      <c r="W105" s="6" t="n">
        <v>0</v>
      </c>
      <c r="X105" s="2">
        <f>Q105*IF(R105="оружие ближнее",P105*Константы!$B$3,IF(R105="оружие дальнее",P105*Константы!$B$4,P105))</f>
        <v/>
      </c>
      <c r="Y105" s="15">
        <f>INDEX(Константы!$D$18:$D$22,MATCH(I105,Константы!$A$18:$A$22,0))</f>
        <v/>
      </c>
      <c r="Z105" s="16">
        <f>X105*(1+Y105)</f>
        <v/>
      </c>
      <c r="AA105" s="16">
        <f>N105*(1-INDEX(Константы!$E$18:$E$22,MATCH(I105,Константы!$A$18:$A$22,0)))</f>
        <v/>
      </c>
      <c r="AB105" s="14">
        <f>IF(AA105&gt;0,Z105/AA105,0)</f>
        <v/>
      </c>
      <c r="AC105" s="16">
        <f>IF(O105&gt;0,Z105/O105,0)</f>
        <v/>
      </c>
      <c r="AD105" s="14">
        <f>IF(AA105&gt;0,AB105/Константы!$B$14,0)</f>
        <v/>
      </c>
      <c r="AE105" s="2">
        <f>IF(Z105=0,"без урона",IF(AD105&gt;Константы!$B$12,"перегиб",IF(AND(AA105&gt;0,AD105&lt;Константы!$B$13),"слабый","норма")))</f>
        <v/>
      </c>
      <c r="AF105" s="2" t="inlineStr">
        <is>
          <t>5 с: −35% урона; удар водой/холодом прерывает и даёт взрыв пара.</t>
        </is>
      </c>
      <c r="AG105" s="2" t="inlineStr">
        <is>
          <t>Раскалённый докрасна герой шипит в облаке пара.</t>
        </is>
      </c>
      <c r="AH105" s="2">
        <f>"Flat game UI rune icon, 256x256, centered on a dark slate (#1E2230) square tile. An outer "&amp;INDEX(Руны!$C$27:$C$30,MATCH(G105,Руны!$A$27:$A$30,0))&amp;", thick carved "&amp;INDEX(Руны!$F$2:$F$10,MATCH(E105,Руны!$A$2:$A$10,0))&amp;" stroke"&amp;INDEX(Руны!$G$2:$G$10,MATCH(E105,Руны!$A$2:$A$10,0))&amp;" and a "&amp;INDEX(Руны!$I$2:$I$10,MATCH(E105,Руны!$A$2:$A$10,0))&amp;" around its outside. Inside: "&amp;INDEX(Руны!$C$14:$C$23,MATCH(H105,Руны!$A$14:$A$23,0))&amp;". Chiseled straight line ends, flat vector, no perspective, faint outer glow."</f>
        <v/>
      </c>
      <c r="AI105" s="2" t="inlineStr">
        <is>
          <t>[Д] черновик</t>
        </is>
      </c>
    </row>
    <row r="106">
      <c r="A106" s="2" t="inlineStr">
        <is>
          <t>Горновое тепло</t>
        </is>
      </c>
      <c r="B106" s="2" t="inlineStr">
        <is>
          <t>Активный</t>
        </is>
      </c>
      <c r="C106" s="2" t="inlineStr">
        <is>
          <t>Горнило</t>
        </is>
      </c>
      <c r="D106" s="2" t="inlineStr">
        <is>
          <t>Сварог</t>
        </is>
      </c>
      <c r="E106" s="2" t="inlineStr">
        <is>
          <t>Жар</t>
        </is>
      </c>
      <c r="F106" s="2" t="inlineStr">
        <is>
          <t>Хил</t>
        </is>
      </c>
      <c r="G106" s="2" t="inlineStr">
        <is>
          <t>чары</t>
        </is>
      </c>
      <c r="H106" s="2" t="inlineStr">
        <is>
          <t>лечение</t>
        </is>
      </c>
      <c r="I106" s="2" t="inlineStr">
        <is>
          <t>D</t>
        </is>
      </c>
      <c r="J106" s="2">
        <f>INDEX(Константы!$G$18:$G$22,MATCH(I106,Константы!$A$18:$A$22,0))</f>
        <v/>
      </c>
      <c r="K106" s="2">
        <f>INDEX(Константы!$F$18:$F$22,MATCH(I106,Константы!$A$18:$A$22,0))</f>
        <v/>
      </c>
      <c r="L106" s="2">
        <f>INDEX(Константы!$C$18:$C$22,MATCH(I106,Константы!$A$18:$A$22,0))</f>
        <v/>
      </c>
      <c r="M106" s="2">
        <f>G106&amp;", "&amp;H106&amp;", "&amp;E106&amp;", "&amp;F106&amp;IF(I106="S",", Божий","")</f>
        <v/>
      </c>
      <c r="N106" s="6" t="n">
        <v>20</v>
      </c>
      <c r="O106" s="6" t="n">
        <v>14</v>
      </c>
      <c r="P106" s="6" t="n">
        <v>0</v>
      </c>
      <c r="Q106" s="6" t="n">
        <v>1</v>
      </c>
      <c r="R106" s="6" t="inlineStr">
        <is>
          <t>фикс</t>
        </is>
      </c>
      <c r="S106" s="6" t="n">
        <v>5</v>
      </c>
      <c r="T106" s="6" t="n">
        <v>0</v>
      </c>
      <c r="U106" s="6" t="n">
        <v>0</v>
      </c>
      <c r="V106" s="6" t="n">
        <v>6</v>
      </c>
      <c r="W106" s="6" t="n">
        <v>0</v>
      </c>
      <c r="X106" s="2">
        <f>Q106*IF(R106="оружие ближнее",P106*Константы!$B$3,IF(R106="оружие дальнее",P106*Константы!$B$4,P106))</f>
        <v/>
      </c>
      <c r="Y106" s="15">
        <f>INDEX(Константы!$D$18:$D$22,MATCH(I106,Константы!$A$18:$A$22,0))</f>
        <v/>
      </c>
      <c r="Z106" s="16">
        <f>X106*(1+Y106)</f>
        <v/>
      </c>
      <c r="AA106" s="16">
        <f>N106*(1-INDEX(Константы!$E$18:$E$22,MATCH(I106,Константы!$A$18:$A$22,0)))</f>
        <v/>
      </c>
      <c r="AB106" s="14">
        <f>IF(AA106&gt;0,Z106/AA106,0)</f>
        <v/>
      </c>
      <c r="AC106" s="16">
        <f>IF(O106&gt;0,Z106/O106,0)</f>
        <v/>
      </c>
      <c r="AD106" s="14">
        <f>IF(AA106&gt;0,AB106/Константы!$B$14,0)</f>
        <v/>
      </c>
      <c r="AE106" s="2">
        <f>IF(Z106=0,"без урона",IF(AD106&gt;Константы!$B$12,"перегиб",IF(AND(AA106&gt;0,AD106&lt;Константы!$B$13),"слабый","норма")))</f>
        <v/>
      </c>
      <c r="AF106" s="2" t="inlineStr">
        <is>
          <t>Зона у горна: 3% здоровья в секунду, турели в ней чинятся.</t>
        </is>
      </c>
      <c r="AG106" s="2" t="inlineStr">
        <is>
          <t>Круг тёплого света вокруг горна.</t>
        </is>
      </c>
      <c r="AH106" s="2">
        <f>"Flat game UI rune icon, 256x256, centered on a dark slate (#1E2230) square tile. An outer "&amp;INDEX(Руны!$C$27:$C$30,MATCH(G106,Руны!$A$27:$A$30,0))&amp;", thick carved "&amp;INDEX(Руны!$F$2:$F$10,MATCH(E106,Руны!$A$2:$A$10,0))&amp;" stroke"&amp;INDEX(Руны!$G$2:$G$10,MATCH(E106,Руны!$A$2:$A$10,0))&amp;" and a "&amp;INDEX(Руны!$I$2:$I$10,MATCH(E106,Руны!$A$2:$A$10,0))&amp;" around its outside. Inside: "&amp;INDEX(Руны!$C$14:$C$23,MATCH(H106,Руны!$A$14:$A$23,0))&amp;". Chiseled straight line ends, flat vector, no perspective, faint outer glow."</f>
        <v/>
      </c>
      <c r="AI106" s="2" t="inlineStr">
        <is>
          <t>[Д] черновик</t>
        </is>
      </c>
    </row>
    <row r="107">
      <c r="A107" s="2" t="inlineStr">
        <is>
          <t>Мерка вдовы</t>
        </is>
      </c>
      <c r="B107" s="2" t="inlineStr">
        <is>
          <t>Активный</t>
        </is>
      </c>
      <c r="C107" s="2" t="inlineStr">
        <is>
          <t>Горнило</t>
        </is>
      </c>
      <c r="D107" s="2" t="inlineStr">
        <is>
          <t>Сварог</t>
        </is>
      </c>
      <c r="E107" s="2" t="inlineStr">
        <is>
          <t>Жар</t>
        </is>
      </c>
      <c r="F107" s="2" t="inlineStr">
        <is>
          <t>Хил</t>
        </is>
      </c>
      <c r="G107" s="2" t="inlineStr">
        <is>
          <t>чары</t>
        </is>
      </c>
      <c r="H107" s="2" t="inlineStr">
        <is>
          <t>лечение</t>
        </is>
      </c>
      <c r="I107" s="2" t="inlineStr">
        <is>
          <t>A</t>
        </is>
      </c>
      <c r="J107" s="2">
        <f>INDEX(Константы!$G$18:$G$22,MATCH(I107,Константы!$A$18:$A$22,0))</f>
        <v/>
      </c>
      <c r="K107" s="2">
        <f>INDEX(Константы!$F$18:$F$22,MATCH(I107,Константы!$A$18:$A$22,0))</f>
        <v/>
      </c>
      <c r="L107" s="2">
        <f>INDEX(Константы!$C$18:$C$22,MATCH(I107,Константы!$A$18:$A$22,0))</f>
        <v/>
      </c>
      <c r="M107" s="2">
        <f>G107&amp;", "&amp;H107&amp;", "&amp;E107&amp;", "&amp;F107&amp;IF(I107="S",", Божий","")</f>
        <v/>
      </c>
      <c r="N107" s="6" t="n">
        <v>30</v>
      </c>
      <c r="O107" s="6" t="n">
        <v>22</v>
      </c>
      <c r="P107" s="6" t="n">
        <v>0</v>
      </c>
      <c r="Q107" s="6" t="n">
        <v>1</v>
      </c>
      <c r="R107" s="6" t="inlineStr">
        <is>
          <t>фикс</t>
        </is>
      </c>
      <c r="S107" s="6" t="n">
        <v>0</v>
      </c>
      <c r="T107" s="6" t="n">
        <v>15</v>
      </c>
      <c r="U107" s="6" t="n">
        <v>0</v>
      </c>
      <c r="V107" s="6" t="n">
        <v>0</v>
      </c>
      <c r="W107" s="6" t="n">
        <v>0</v>
      </c>
      <c r="X107" s="2">
        <f>Q107*IF(R107="оружие ближнее",P107*Константы!$B$3,IF(R107="оружие дальнее",P107*Константы!$B$4,P107))</f>
        <v/>
      </c>
      <c r="Y107" s="15">
        <f>INDEX(Константы!$D$18:$D$22,MATCH(I107,Константы!$A$18:$A$22,0))</f>
        <v/>
      </c>
      <c r="Z107" s="16">
        <f>X107*(1+Y107)</f>
        <v/>
      </c>
      <c r="AA107" s="16">
        <f>N107*(1-INDEX(Константы!$E$18:$E$22,MATCH(I107,Константы!$A$18:$A$22,0)))</f>
        <v/>
      </c>
      <c r="AB107" s="14">
        <f>IF(AA107&gt;0,Z107/AA107,0)</f>
        <v/>
      </c>
      <c r="AC107" s="16">
        <f>IF(O107&gt;0,Z107/O107,0)</f>
        <v/>
      </c>
      <c r="AD107" s="14">
        <f>IF(AA107&gt;0,AB107/Константы!$B$14,0)</f>
        <v/>
      </c>
      <c r="AE107" s="2">
        <f>IF(Z107=0,"без урона",IF(AD107&gt;Константы!$B$12,"перегиб",IF(AND(AA107&gt;0,AD107&lt;Константы!$B$13),"слабый","норма")))</f>
        <v/>
      </c>
      <c r="AF107" s="2" t="inlineStr">
        <is>
          <t>Лечит союзника до «мерки»: до 60% здоровья, если было ниже.</t>
        </is>
      </c>
      <c r="AG107" s="2" t="inlineStr">
        <is>
          <t>Мерная верёвка с узлами в руках.</t>
        </is>
      </c>
      <c r="AH107" s="2">
        <f>"Flat game UI rune icon, 256x256, centered on a dark slate (#1E2230) square tile. An outer "&amp;INDEX(Руны!$C$27:$C$30,MATCH(G107,Руны!$A$27:$A$30,0))&amp;", thick carved "&amp;INDEX(Руны!$F$2:$F$10,MATCH(E107,Руны!$A$2:$A$10,0))&amp;" stroke"&amp;INDEX(Руны!$G$2:$G$10,MATCH(E107,Руны!$A$2:$A$10,0))&amp;" and a "&amp;INDEX(Руны!$I$2:$I$10,MATCH(E107,Руны!$A$2:$A$10,0))&amp;" around its outside. Inside: "&amp;INDEX(Руны!$C$14:$C$23,MATCH(H107,Руны!$A$14:$A$23,0))&amp;". Chiseled straight line ends, flat vector, no perspective, faint outer glow."</f>
        <v/>
      </c>
      <c r="AI107" s="2" t="inlineStr">
        <is>
          <t>[Д] черновик</t>
        </is>
      </c>
    </row>
    <row r="108">
      <c r="A108" s="2" t="inlineStr">
        <is>
          <t>Меха</t>
        </is>
      </c>
      <c r="B108" s="2" t="inlineStr">
        <is>
          <t>Активный</t>
        </is>
      </c>
      <c r="C108" s="2" t="inlineStr">
        <is>
          <t>Горнило</t>
        </is>
      </c>
      <c r="D108" s="2" t="inlineStr">
        <is>
          <t>Сварог</t>
        </is>
      </c>
      <c r="E108" s="2" t="inlineStr">
        <is>
          <t>Жар</t>
        </is>
      </c>
      <c r="F108" s="2" t="inlineStr">
        <is>
          <t>Призыв</t>
        </is>
      </c>
      <c r="G108" s="2" t="inlineStr">
        <is>
          <t>чары</t>
        </is>
      </c>
      <c r="H108" s="2" t="inlineStr">
        <is>
          <t>призыв</t>
        </is>
      </c>
      <c r="I108" s="2" t="inlineStr">
        <is>
          <t>C</t>
        </is>
      </c>
      <c r="J108" s="2">
        <f>INDEX(Константы!$G$18:$G$22,MATCH(I108,Константы!$A$18:$A$22,0))</f>
        <v/>
      </c>
      <c r="K108" s="2">
        <f>INDEX(Константы!$F$18:$F$22,MATCH(I108,Константы!$A$18:$A$22,0))</f>
        <v/>
      </c>
      <c r="L108" s="2">
        <f>INDEX(Константы!$C$18:$C$22,MATCH(I108,Константы!$A$18:$A$22,0))</f>
        <v/>
      </c>
      <c r="M108" s="2">
        <f>G108&amp;", "&amp;H108&amp;", "&amp;E108&amp;", "&amp;F108&amp;IF(I108="S",", Божий","")</f>
        <v/>
      </c>
      <c r="N108" s="6" t="n">
        <v>30</v>
      </c>
      <c r="O108" s="6" t="n">
        <v>18</v>
      </c>
      <c r="P108" s="6" t="n">
        <v>10</v>
      </c>
      <c r="Q108" s="6" t="n">
        <v>15</v>
      </c>
      <c r="R108" s="6" t="inlineStr">
        <is>
          <t>фикс</t>
        </is>
      </c>
      <c r="S108" s="6" t="n">
        <v>0</v>
      </c>
      <c r="T108" s="6" t="n">
        <v>10</v>
      </c>
      <c r="U108" s="6" t="n">
        <v>0</v>
      </c>
      <c r="V108" s="6" t="n">
        <v>15</v>
      </c>
      <c r="W108" s="6" t="n">
        <v>0</v>
      </c>
      <c r="X108" s="2">
        <f>Q108*IF(R108="оружие ближнее",P108*Константы!$B$3,IF(R108="оружие дальнее",P108*Константы!$B$4,P108))</f>
        <v/>
      </c>
      <c r="Y108" s="15">
        <f>INDEX(Константы!$D$18:$D$22,MATCH(I108,Константы!$A$18:$A$22,0))</f>
        <v/>
      </c>
      <c r="Z108" s="16">
        <f>X108*(1+Y108)</f>
        <v/>
      </c>
      <c r="AA108" s="16">
        <f>N108*(1-INDEX(Константы!$E$18:$E$22,MATCH(I108,Константы!$A$18:$A$22,0)))</f>
        <v/>
      </c>
      <c r="AB108" s="14">
        <f>IF(AA108&gt;0,Z108/AA108,0)</f>
        <v/>
      </c>
      <c r="AC108" s="16">
        <f>IF(O108&gt;0,Z108/O108,0)</f>
        <v/>
      </c>
      <c r="AD108" s="14">
        <f>IF(AA108&gt;0,AB108/Константы!$B$14,0)</f>
        <v/>
      </c>
      <c r="AE108" s="2">
        <f>IF(Z108=0,"без урона",IF(AD108&gt;Константы!$B$12,"перегиб",IF(AND(AA108&gt;0,AD108&lt;Константы!$B$13),"слабый","норма")))</f>
        <v/>
      </c>
      <c r="AF108" s="2" t="inlineStr">
        <is>
          <t>Турель-меха на 15 с: дует огнём, раздувает заготовки.</t>
        </is>
      </c>
      <c r="AG108" s="2" t="inlineStr">
        <is>
          <t>Кожаные кузнечные меха на треноге, изо рта огонь.</t>
        </is>
      </c>
      <c r="AH108" s="2">
        <f>"Flat game UI rune icon, 256x256, centered on a dark slate (#1E2230) square tile. An outer "&amp;INDEX(Руны!$C$27:$C$30,MATCH(G108,Руны!$A$27:$A$30,0))&amp;", thick carved "&amp;INDEX(Руны!$F$2:$F$10,MATCH(E108,Руны!$A$2:$A$10,0))&amp;" stroke"&amp;INDEX(Руны!$G$2:$G$10,MATCH(E108,Руны!$A$2:$A$10,0))&amp;" and a "&amp;INDEX(Руны!$I$2:$I$10,MATCH(E108,Руны!$A$2:$A$10,0))&amp;" around its outside. Inside: "&amp;INDEX(Руны!$C$14:$C$23,MATCH(H108,Руны!$A$14:$A$23,0))&amp;". Chiseled straight line ends, flat vector, no perspective, faint outer glow."</f>
        <v/>
      </c>
      <c r="AI108" s="2" t="inlineStr">
        <is>
          <t>[Д] черновик</t>
        </is>
      </c>
    </row>
    <row r="109">
      <c r="A109" s="2" t="inlineStr">
        <is>
          <t>Клещи с неба</t>
        </is>
      </c>
      <c r="B109" s="2" t="inlineStr">
        <is>
          <t>Активный</t>
        </is>
      </c>
      <c r="C109" s="2" t="inlineStr">
        <is>
          <t>Горнило</t>
        </is>
      </c>
      <c r="D109" s="2" t="inlineStr">
        <is>
          <t>Сварог</t>
        </is>
      </c>
      <c r="E109" s="2" t="inlineStr">
        <is>
          <t>Жар</t>
        </is>
      </c>
      <c r="F109" s="2" t="inlineStr">
        <is>
          <t>Призыв</t>
        </is>
      </c>
      <c r="G109" s="2" t="inlineStr">
        <is>
          <t>чары</t>
        </is>
      </c>
      <c r="H109" s="2" t="inlineStr">
        <is>
          <t>призыв</t>
        </is>
      </c>
      <c r="I109" s="2" t="inlineStr">
        <is>
          <t>S</t>
        </is>
      </c>
      <c r="J109" s="2">
        <f>INDEX(Константы!$G$18:$G$22,MATCH(I109,Константы!$A$18:$A$22,0))</f>
        <v/>
      </c>
      <c r="K109" s="2">
        <f>INDEX(Константы!$F$18:$F$22,MATCH(I109,Константы!$A$18:$A$22,0))</f>
        <v/>
      </c>
      <c r="L109" s="2">
        <f>INDEX(Константы!$C$18:$C$22,MATCH(I109,Константы!$A$18:$A$22,0))</f>
        <v/>
      </c>
      <c r="M109" s="2">
        <f>G109&amp;", "&amp;H109&amp;", "&amp;E109&amp;", "&amp;F109&amp;IF(I109="S",", Божий","")</f>
        <v/>
      </c>
      <c r="N109" s="6" t="n">
        <v>35</v>
      </c>
      <c r="O109" s="6" t="n">
        <v>40</v>
      </c>
      <c r="P109" s="6" t="n">
        <v>90</v>
      </c>
      <c r="Q109" s="6" t="n">
        <v>1</v>
      </c>
      <c r="R109" s="6" t="inlineStr">
        <is>
          <t>фикс</t>
        </is>
      </c>
      <c r="S109" s="6" t="n">
        <v>4</v>
      </c>
      <c r="T109" s="6" t="n">
        <v>25</v>
      </c>
      <c r="U109" s="6" t="n">
        <v>1</v>
      </c>
      <c r="V109" s="6" t="n">
        <v>8</v>
      </c>
      <c r="W109" s="6" t="n">
        <v>1</v>
      </c>
      <c r="X109" s="2">
        <f>Q109*IF(R109="оружие ближнее",P109*Константы!$B$3,IF(R109="оружие дальнее",P109*Константы!$B$4,P109))</f>
        <v/>
      </c>
      <c r="Y109" s="15">
        <f>INDEX(Константы!$D$18:$D$22,MATCH(I109,Константы!$A$18:$A$22,0))</f>
        <v/>
      </c>
      <c r="Z109" s="16">
        <f>X109*(1+Y109)</f>
        <v/>
      </c>
      <c r="AA109" s="16">
        <f>N109*(1-INDEX(Константы!$E$18:$E$22,MATCH(I109,Константы!$A$18:$A$22,0)))</f>
        <v/>
      </c>
      <c r="AB109" s="14">
        <f>IF(AA109&gt;0,Z109/AA109,0)</f>
        <v/>
      </c>
      <c r="AC109" s="16">
        <f>IF(O109&gt;0,Z109/O109,0)</f>
        <v/>
      </c>
      <c r="AD109" s="14">
        <f>IF(AA109&gt;0,AB109/Константы!$B$14,0)</f>
        <v/>
      </c>
      <c r="AE109" s="2">
        <f>IF(Z109=0,"без урона",IF(AD109&gt;Константы!$B$12,"перегиб",IF(AND(AA109&gt;0,AD109&lt;Константы!$B$13),"слабый","норма")))</f>
        <v/>
      </c>
      <c r="AF109" s="2" t="inlineStr">
        <is>
          <t>Огромные клещи падают с неба, хватают врага и держат 8 с.</t>
        </is>
      </c>
      <c r="AG109" s="2" t="inlineStr">
        <is>
          <t>Гигантские кузнечные клещи из тучи хватают фигуру.</t>
        </is>
      </c>
      <c r="AH109" s="2">
        <f>"Flat game UI rune icon, 256x256, centered on a dark slate (#1E2230) square tile. An outer "&amp;INDEX(Руны!$C$27:$C$30,MATCH(G109,Руны!$A$27:$A$30,0))&amp;", thick carved "&amp;INDEX(Руны!$F$2:$F$10,MATCH(E109,Руны!$A$2:$A$10,0))&amp;" stroke"&amp;INDEX(Руны!$G$2:$G$10,MATCH(E109,Руны!$A$2:$A$10,0))&amp;" and a "&amp;INDEX(Руны!$I$2:$I$10,MATCH(E109,Руны!$A$2:$A$10,0))&amp;" around its outside. Inside: "&amp;INDEX(Руны!$C$14:$C$23,MATCH(H109,Руны!$A$14:$A$23,0))&amp;". Chiseled straight line ends, flat vector, no perspective, faint outer glow."</f>
        <v/>
      </c>
      <c r="AI109" s="2" t="inlineStr">
        <is>
          <t>[Д] черновик</t>
        </is>
      </c>
    </row>
    <row r="110">
      <c r="A110" s="2" t="inlineStr">
        <is>
          <t>Мерило</t>
        </is>
      </c>
      <c r="B110" s="2" t="inlineStr">
        <is>
          <t>Активный</t>
        </is>
      </c>
      <c r="C110" s="2" t="inlineStr">
        <is>
          <t>Горнило</t>
        </is>
      </c>
      <c r="D110" s="2" t="inlineStr">
        <is>
          <t>Сварог</t>
        </is>
      </c>
      <c r="E110" s="2" t="inlineStr">
        <is>
          <t>Жар</t>
        </is>
      </c>
      <c r="F110" s="2" t="inlineStr">
        <is>
          <t>Саппорт</t>
        </is>
      </c>
      <c r="G110" s="2" t="inlineStr">
        <is>
          <t>чары</t>
        </is>
      </c>
      <c r="H110" s="2" t="inlineStr">
        <is>
          <t>аура</t>
        </is>
      </c>
      <c r="I110" s="2" t="inlineStr">
        <is>
          <t>B</t>
        </is>
      </c>
      <c r="J110" s="2">
        <f>INDEX(Константы!$G$18:$G$22,MATCH(I110,Константы!$A$18:$A$22,0))</f>
        <v/>
      </c>
      <c r="K110" s="2">
        <f>INDEX(Константы!$F$18:$F$22,MATCH(I110,Константы!$A$18:$A$22,0))</f>
        <v/>
      </c>
      <c r="L110" s="2">
        <f>INDEX(Константы!$C$18:$C$22,MATCH(I110,Константы!$A$18:$A$22,0))</f>
        <v/>
      </c>
      <c r="M110" s="2">
        <f>G110&amp;", "&amp;H110&amp;", "&amp;E110&amp;", "&amp;F110&amp;IF(I110="S",", Божий","")</f>
        <v/>
      </c>
      <c r="N110" s="6" t="n">
        <v>20</v>
      </c>
      <c r="O110" s="6" t="n">
        <v>20</v>
      </c>
      <c r="P110" s="6" t="n">
        <v>0</v>
      </c>
      <c r="Q110" s="6" t="n">
        <v>1</v>
      </c>
      <c r="R110" s="6" t="inlineStr">
        <is>
          <t>фикс</t>
        </is>
      </c>
      <c r="S110" s="6" t="n">
        <v>8</v>
      </c>
      <c r="T110" s="6" t="n">
        <v>0</v>
      </c>
      <c r="U110" s="6" t="n">
        <v>0</v>
      </c>
      <c r="V110" s="6" t="n">
        <v>10</v>
      </c>
      <c r="W110" s="6" t="n">
        <v>0</v>
      </c>
      <c r="X110" s="2">
        <f>Q110*IF(R110="оружие ближнее",P110*Константы!$B$3,IF(R110="оружие дальнее",P110*Константы!$B$4,P110))</f>
        <v/>
      </c>
      <c r="Y110" s="15">
        <f>INDEX(Константы!$D$18:$D$22,MATCH(I110,Константы!$A$18:$A$22,0))</f>
        <v/>
      </c>
      <c r="Z110" s="16">
        <f>X110*(1+Y110)</f>
        <v/>
      </c>
      <c r="AA110" s="16">
        <f>N110*(1-INDEX(Константы!$E$18:$E$22,MATCH(I110,Константы!$A$18:$A$22,0)))</f>
        <v/>
      </c>
      <c r="AB110" s="14">
        <f>IF(AA110&gt;0,Z110/AA110,0)</f>
        <v/>
      </c>
      <c r="AC110" s="16">
        <f>IF(O110&gt;0,Z110/O110,0)</f>
        <v/>
      </c>
      <c r="AD110" s="14">
        <f>IF(AA110&gt;0,AB110/Константы!$B$14,0)</f>
        <v/>
      </c>
      <c r="AE110" s="2">
        <f>IF(Z110=0,"без урона",IF(AD110&gt;Константы!$B$12,"перегиб",IF(AND(AA110&gt;0,AD110&lt;Константы!$B$13),"слабый","норма")))</f>
        <v/>
      </c>
      <c r="AF110" s="2" t="inlineStr">
        <is>
          <t>Зона-правило 10 с: ни один удар врага внутри не сильнее 15% здоровья героя.</t>
        </is>
      </c>
      <c r="AG110" s="2" t="inlineStr">
        <is>
          <t>Кольцо из железных мерок, вбитых в землю.</t>
        </is>
      </c>
      <c r="AH110" s="2">
        <f>"Flat game UI rune icon, 256x256, centered on a dark slate (#1E2230) square tile. An outer "&amp;INDEX(Руны!$C$27:$C$30,MATCH(G110,Руны!$A$27:$A$30,0))&amp;", thick carved "&amp;INDEX(Руны!$F$2:$F$10,MATCH(E110,Руны!$A$2:$A$10,0))&amp;" stroke"&amp;INDEX(Руны!$G$2:$G$10,MATCH(E110,Руны!$A$2:$A$10,0))&amp;" and a "&amp;INDEX(Руны!$I$2:$I$10,MATCH(E110,Руны!$A$2:$A$10,0))&amp;" around its outside. Inside: "&amp;INDEX(Руны!$C$14:$C$23,MATCH(H110,Руны!$A$14:$A$23,0))&amp;". Chiseled straight line ends, flat vector, no perspective, faint outer glow."</f>
        <v/>
      </c>
      <c r="AI110" s="2" t="inlineStr">
        <is>
          <t>[Д] черновик</t>
        </is>
      </c>
    </row>
    <row r="111">
      <c r="A111" s="2" t="inlineStr">
        <is>
          <t>Шлак</t>
        </is>
      </c>
      <c r="B111" s="2" t="inlineStr">
        <is>
          <t>Активный</t>
        </is>
      </c>
      <c r="C111" s="2" t="inlineStr">
        <is>
          <t>Горнило</t>
        </is>
      </c>
      <c r="D111" s="2" t="inlineStr">
        <is>
          <t>Сварог</t>
        </is>
      </c>
      <c r="E111" s="2" t="inlineStr">
        <is>
          <t>Жар</t>
        </is>
      </c>
      <c r="F111" s="2" t="inlineStr">
        <is>
          <t>Саппорт</t>
        </is>
      </c>
      <c r="G111" s="2" t="inlineStr">
        <is>
          <t>чары</t>
        </is>
      </c>
      <c r="H111" s="2" t="inlineStr">
        <is>
          <t>дебафф</t>
        </is>
      </c>
      <c r="I111" s="2" t="inlineStr">
        <is>
          <t>D</t>
        </is>
      </c>
      <c r="J111" s="2">
        <f>INDEX(Константы!$G$18:$G$22,MATCH(I111,Константы!$A$18:$A$22,0))</f>
        <v/>
      </c>
      <c r="K111" s="2">
        <f>INDEX(Константы!$F$18:$F$22,MATCH(I111,Константы!$A$18:$A$22,0))</f>
        <v/>
      </c>
      <c r="L111" s="2">
        <f>INDEX(Константы!$C$18:$C$22,MATCH(I111,Константы!$A$18:$A$22,0))</f>
        <v/>
      </c>
      <c r="M111" s="2">
        <f>G111&amp;", "&amp;H111&amp;", "&amp;E111&amp;", "&amp;F111&amp;IF(I111="S",", Божий","")</f>
        <v/>
      </c>
      <c r="N111" s="6" t="n">
        <v>20</v>
      </c>
      <c r="O111" s="6" t="n">
        <v>10</v>
      </c>
      <c r="P111" s="6" t="n">
        <v>20</v>
      </c>
      <c r="Q111" s="6" t="n">
        <v>1</v>
      </c>
      <c r="R111" s="6" t="inlineStr">
        <is>
          <t>фикс</t>
        </is>
      </c>
      <c r="S111" s="6" t="n">
        <v>4</v>
      </c>
      <c r="T111" s="6" t="n">
        <v>25</v>
      </c>
      <c r="U111" s="6" t="n">
        <v>0</v>
      </c>
      <c r="V111" s="6" t="n">
        <v>6</v>
      </c>
      <c r="W111" s="6" t="n">
        <v>0</v>
      </c>
      <c r="X111" s="2">
        <f>Q111*IF(R111="оружие ближнее",P111*Константы!$B$3,IF(R111="оружие дальнее",P111*Константы!$B$4,P111))</f>
        <v/>
      </c>
      <c r="Y111" s="15">
        <f>INDEX(Константы!$D$18:$D$22,MATCH(I111,Константы!$A$18:$A$22,0))</f>
        <v/>
      </c>
      <c r="Z111" s="16">
        <f>X111*(1+Y111)</f>
        <v/>
      </c>
      <c r="AA111" s="16">
        <f>N111*(1-INDEX(Константы!$E$18:$E$22,MATCH(I111,Константы!$A$18:$A$22,0)))</f>
        <v/>
      </c>
      <c r="AB111" s="14">
        <f>IF(AA111&gt;0,Z111/AA111,0)</f>
        <v/>
      </c>
      <c r="AC111" s="16">
        <f>IF(O111&gt;0,Z111/O111,0)</f>
        <v/>
      </c>
      <c r="AD111" s="14">
        <f>IF(AA111&gt;0,AB111/Константы!$B$14,0)</f>
        <v/>
      </c>
      <c r="AE111" s="2">
        <f>IF(Z111=0,"без урона",IF(AD111&gt;Константы!$B$12,"перегиб",IF(AND(AA111&gt;0,AD111&lt;Константы!$B$13),"слабый","норма")))</f>
        <v/>
      </c>
      <c r="AF111" s="2" t="inlineStr">
        <is>
          <t>Лужа шлака: −30% скорости, +15% урона от огня.</t>
        </is>
      </c>
      <c r="AG111" s="2" t="inlineStr">
        <is>
          <t>Густая серая лужа шлака, враги вязнут.</t>
        </is>
      </c>
      <c r="AH111" s="2">
        <f>"Flat game UI rune icon, 256x256, centered on a dark slate (#1E2230) square tile. An outer "&amp;INDEX(Руны!$C$27:$C$30,MATCH(G111,Руны!$A$27:$A$30,0))&amp;", thick carved "&amp;INDEX(Руны!$F$2:$F$10,MATCH(E111,Руны!$A$2:$A$10,0))&amp;" stroke"&amp;INDEX(Руны!$G$2:$G$10,MATCH(E111,Руны!$A$2:$A$10,0))&amp;" and a "&amp;INDEX(Руны!$I$2:$I$10,MATCH(E111,Руны!$A$2:$A$10,0))&amp;" around its outside. Inside: "&amp;INDEX(Руны!$C$14:$C$23,MATCH(H111,Руны!$A$14:$A$23,0))&amp;". Chiseled straight line ends, flat vector, no perspective, faint outer glow."</f>
        <v/>
      </c>
      <c r="AI111" s="2" t="inlineStr">
        <is>
          <t>[Д] черновик</t>
        </is>
      </c>
    </row>
    <row r="112">
      <c r="A112" s="2" t="inlineStr">
        <is>
          <t>Искровой шаг</t>
        </is>
      </c>
      <c r="B112" s="2" t="inlineStr">
        <is>
          <t>Активный</t>
        </is>
      </c>
      <c r="C112" s="2" t="inlineStr">
        <is>
          <t>Горнило</t>
        </is>
      </c>
      <c r="D112" s="2" t="inlineStr">
        <is>
          <t>Сварог</t>
        </is>
      </c>
      <c r="E112" s="2" t="inlineStr">
        <is>
          <t>Жар</t>
        </is>
      </c>
      <c r="F112" s="2" t="inlineStr">
        <is>
          <t>Мобильность</t>
        </is>
      </c>
      <c r="G112" s="2" t="inlineStr">
        <is>
          <t>чары</t>
        </is>
      </c>
      <c r="H112" s="2" t="inlineStr">
        <is>
          <t>рывок</t>
        </is>
      </c>
      <c r="I112" s="2" t="inlineStr">
        <is>
          <t>D</t>
        </is>
      </c>
      <c r="J112" s="2">
        <f>INDEX(Константы!$G$18:$G$22,MATCH(I112,Константы!$A$18:$A$22,0))</f>
        <v/>
      </c>
      <c r="K112" s="2">
        <f>INDEX(Константы!$F$18:$F$22,MATCH(I112,Константы!$A$18:$A$22,0))</f>
        <v/>
      </c>
      <c r="L112" s="2">
        <f>INDEX(Константы!$C$18:$C$22,MATCH(I112,Константы!$A$18:$A$22,0))</f>
        <v/>
      </c>
      <c r="M112" s="2">
        <f>G112&amp;", "&amp;H112&amp;", "&amp;E112&amp;", "&amp;F112&amp;IF(I112="S",", Божий","")</f>
        <v/>
      </c>
      <c r="N112" s="6" t="n">
        <v>20</v>
      </c>
      <c r="O112" s="6" t="n">
        <v>6</v>
      </c>
      <c r="P112" s="6" t="n">
        <v>15</v>
      </c>
      <c r="Q112" s="6" t="n">
        <v>1</v>
      </c>
      <c r="R112" s="6" t="inlineStr">
        <is>
          <t>фикс</t>
        </is>
      </c>
      <c r="S112" s="6" t="n">
        <v>0</v>
      </c>
      <c r="T112" s="6" t="n">
        <v>6</v>
      </c>
      <c r="U112" s="6" t="n">
        <v>0</v>
      </c>
      <c r="V112" s="6" t="n">
        <v>0</v>
      </c>
      <c r="W112" s="6" t="n">
        <v>0</v>
      </c>
      <c r="X112" s="2">
        <f>Q112*IF(R112="оружие ближнее",P112*Константы!$B$3,IF(R112="оружие дальнее",P112*Константы!$B$4,P112))</f>
        <v/>
      </c>
      <c r="Y112" s="15">
        <f>INDEX(Константы!$D$18:$D$22,MATCH(I112,Константы!$A$18:$A$22,0))</f>
        <v/>
      </c>
      <c r="Z112" s="16">
        <f>X112*(1+Y112)</f>
        <v/>
      </c>
      <c r="AA112" s="16">
        <f>N112*(1-INDEX(Константы!$E$18:$E$22,MATCH(I112,Константы!$A$18:$A$22,0)))</f>
        <v/>
      </c>
      <c r="AB112" s="14">
        <f>IF(AA112&gt;0,Z112/AA112,0)</f>
        <v/>
      </c>
      <c r="AC112" s="16">
        <f>IF(O112&gt;0,Z112/O112,0)</f>
        <v/>
      </c>
      <c r="AD112" s="14">
        <f>IF(AA112&gt;0,AB112/Константы!$B$14,0)</f>
        <v/>
      </c>
      <c r="AE112" s="2">
        <f>IF(Z112=0,"без урона",IF(AD112&gt;Константы!$B$12,"перегиб",IF(AND(AA112&gt;0,AD112&lt;Константы!$B$13),"слабый","норма")))</f>
        <v/>
      </c>
      <c r="AF112" s="2" t="inlineStr">
        <is>
          <t>Рывок 6 м сквозь врагов, оставляет след искр.</t>
        </is>
      </c>
      <c r="AG112" s="2" t="inlineStr">
        <is>
          <t>След из искр по полу кузни.</t>
        </is>
      </c>
      <c r="AH112" s="2">
        <f>"Flat game UI rune icon, 256x256, centered on a dark slate (#1E2230) square tile. An outer "&amp;INDEX(Руны!$C$27:$C$30,MATCH(G112,Руны!$A$27:$A$30,0))&amp;", thick carved "&amp;INDEX(Руны!$F$2:$F$10,MATCH(E112,Руны!$A$2:$A$10,0))&amp;" stroke"&amp;INDEX(Руны!$G$2:$G$10,MATCH(E112,Руны!$A$2:$A$10,0))&amp;" and a "&amp;INDEX(Руны!$I$2:$I$10,MATCH(E112,Руны!$A$2:$A$10,0))&amp;" around its outside. Inside: "&amp;INDEX(Руны!$C$14:$C$23,MATCH(H112,Руны!$A$14:$A$23,0))&amp;". Chiseled straight line ends, flat vector, no perspective, faint outer glow."</f>
        <v/>
      </c>
      <c r="AI112" s="2" t="inlineStr">
        <is>
          <t>[Д] черновик</t>
        </is>
      </c>
    </row>
    <row r="113">
      <c r="A113" s="2" t="inlineStr">
        <is>
          <t>Горн-скачок</t>
        </is>
      </c>
      <c r="B113" s="2" t="inlineStr">
        <is>
          <t>Активный</t>
        </is>
      </c>
      <c r="C113" s="2" t="inlineStr">
        <is>
          <t>Горнило</t>
        </is>
      </c>
      <c r="D113" s="2" t="inlineStr">
        <is>
          <t>Сварог</t>
        </is>
      </c>
      <c r="E113" s="2" t="inlineStr">
        <is>
          <t>Жар</t>
        </is>
      </c>
      <c r="F113" s="2" t="inlineStr">
        <is>
          <t>Мобильность</t>
        </is>
      </c>
      <c r="G113" s="2" t="inlineStr">
        <is>
          <t>чары</t>
        </is>
      </c>
      <c r="H113" s="2" t="inlineStr">
        <is>
          <t>рывок</t>
        </is>
      </c>
      <c r="I113" s="2" t="inlineStr">
        <is>
          <t>C</t>
        </is>
      </c>
      <c r="J113" s="2">
        <f>INDEX(Константы!$G$18:$G$22,MATCH(I113,Константы!$A$18:$A$22,0))</f>
        <v/>
      </c>
      <c r="K113" s="2">
        <f>INDEX(Константы!$F$18:$F$22,MATCH(I113,Константы!$A$18:$A$22,0))</f>
        <v/>
      </c>
      <c r="L113" s="2">
        <f>INDEX(Константы!$C$18:$C$22,MATCH(I113,Константы!$A$18:$A$22,0))</f>
        <v/>
      </c>
      <c r="M113" s="2">
        <f>G113&amp;", "&amp;H113&amp;", "&amp;E113&amp;", "&amp;F113&amp;IF(I113="S",", Божий","")</f>
        <v/>
      </c>
      <c r="N113" s="6" t="n">
        <v>25</v>
      </c>
      <c r="O113" s="6" t="n">
        <v>12</v>
      </c>
      <c r="P113" s="6" t="n">
        <v>30</v>
      </c>
      <c r="Q113" s="6" t="n">
        <v>1</v>
      </c>
      <c r="R113" s="6" t="inlineStr">
        <is>
          <t>фикс</t>
        </is>
      </c>
      <c r="S113" s="6" t="n">
        <v>3</v>
      </c>
      <c r="T113" s="6" t="n">
        <v>15</v>
      </c>
      <c r="U113" s="6" t="n">
        <v>0</v>
      </c>
      <c r="V113" s="6" t="n">
        <v>0</v>
      </c>
      <c r="W113" s="6" t="n">
        <v>0</v>
      </c>
      <c r="X113" s="2">
        <f>Q113*IF(R113="оружие ближнее",P113*Константы!$B$3,IF(R113="оружие дальнее",P113*Константы!$B$4,P113))</f>
        <v/>
      </c>
      <c r="Y113" s="15">
        <f>INDEX(Константы!$D$18:$D$22,MATCH(I113,Константы!$A$18:$A$22,0))</f>
        <v/>
      </c>
      <c r="Z113" s="16">
        <f>X113*(1+Y113)</f>
        <v/>
      </c>
      <c r="AA113" s="16">
        <f>N113*(1-INDEX(Константы!$E$18:$E$22,MATCH(I113,Константы!$A$18:$A$22,0)))</f>
        <v/>
      </c>
      <c r="AB113" s="14">
        <f>IF(AA113&gt;0,Z113/AA113,0)</f>
        <v/>
      </c>
      <c r="AC113" s="16">
        <f>IF(O113&gt;0,Z113/O113,0)</f>
        <v/>
      </c>
      <c r="AD113" s="14">
        <f>IF(AA113&gt;0,AB113/Константы!$B$14,0)</f>
        <v/>
      </c>
      <c r="AE113" s="2">
        <f>IF(Z113=0,"без урона",IF(AD113&gt;Константы!$B$12,"перегиб",IF(AND(AA113&gt;0,AD113&lt;Константы!$B$13),"слабый","норма")))</f>
        <v/>
      </c>
      <c r="AF113" s="2" t="inlineStr">
        <is>
          <t>Прыжок к своей турели или заготовке; при приземлении взрыв.</t>
        </is>
      </c>
      <c r="AG113" s="2" t="inlineStr">
        <is>
          <t>Герой приземляется на наковальню, огненное кольцо.</t>
        </is>
      </c>
      <c r="AH113" s="2">
        <f>"Flat game UI rune icon, 256x256, centered on a dark slate (#1E2230) square tile. An outer "&amp;INDEX(Руны!$C$27:$C$30,MATCH(G113,Руны!$A$27:$A$30,0))&amp;", thick carved "&amp;INDEX(Руны!$F$2:$F$10,MATCH(E113,Руны!$A$2:$A$10,0))&amp;" stroke"&amp;INDEX(Руны!$G$2:$G$10,MATCH(E113,Руны!$A$2:$A$10,0))&amp;" and a "&amp;INDEX(Руны!$I$2:$I$10,MATCH(E113,Руны!$A$2:$A$10,0))&amp;" around its outside. Inside: "&amp;INDEX(Руны!$C$14:$C$23,MATCH(H113,Руны!$A$14:$A$23,0))&amp;". Chiseled straight line ends, flat vector, no perspective, faint outer glow."</f>
        <v/>
      </c>
      <c r="AI113" s="2" t="inlineStr">
        <is>
          <t>[Д] черновик</t>
        </is>
      </c>
    </row>
  </sheetData>
  <autoFilter ref="A1:AI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2026-09-28T14:31:31Z</dcterms:created>
  <dcterms:modified xsi:type="dcterms:W3CDTF">2026-09-28T14:31:31Z</dcterms:modified>
</cp:coreProperties>
</file>